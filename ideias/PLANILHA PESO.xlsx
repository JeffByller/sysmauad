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uad\Desktop\"/>
    </mc:Choice>
  </mc:AlternateContent>
  <bookViews>
    <workbookView xWindow="0" yWindow="0" windowWidth="20490" windowHeight="7755" tabRatio="871" firstSheet="8" activeTab="8"/>
  </bookViews>
  <sheets>
    <sheet name="HIPER DESTROI" sheetId="1" r:id="rId1"/>
    <sheet name="HD SASSA" sheetId="14" r:id="rId2"/>
    <sheet name="HIPER DESTROI NO PÓ" sheetId="2" r:id="rId3"/>
    <sheet name="Plan1" sheetId="26" r:id="rId4"/>
    <sheet name="HIPER DESTROI MÉDIO" sheetId="3" r:id="rId5"/>
    <sheet name="HDM SASSA" sheetId="15" r:id="rId6"/>
    <sheet name="HIPER DESTROI MÉDIO NO PÓ" sheetId="6" r:id="rId7"/>
    <sheet name="HIPER DESTROI CLARO" sheetId="10" r:id="rId8"/>
    <sheet name="HIPER DESTROI CLARO NO PÓ" sheetId="4" r:id="rId9"/>
    <sheet name="HDC SASSA" sheetId="16" r:id="rId10"/>
    <sheet name="HIPER DESTROI ESCURO" sheetId="11" r:id="rId11"/>
    <sheet name="HIPER DESTROI ESCURO NO PÓ" sheetId="5" r:id="rId12"/>
    <sheet name="CRISTAL" sheetId="7" r:id="rId13"/>
    <sheet name="CRISTAL SASSA" sheetId="17" r:id="rId14"/>
    <sheet name="AMERICANO(TECIDO CLARO)" sheetId="20" r:id="rId15"/>
    <sheet name="AMERICANO(TECIDO ESCURO)" sheetId="21" r:id="rId16"/>
    <sheet name="SKY OXI" sheetId="8" r:id="rId17"/>
    <sheet name="SKY" sheetId="9" r:id="rId18"/>
    <sheet name="H.D. MARMORIZADO" sheetId="12" r:id="rId19"/>
    <sheet name="h.m.mar" sheetId="18" r:id="rId20"/>
    <sheet name="Plan6" sheetId="25" r:id="rId21"/>
    <sheet name="Plan5" sheetId="24" r:id="rId22"/>
    <sheet name="marmorizado" sheetId="13" r:id="rId23"/>
    <sheet name="Plan2" sheetId="19" r:id="rId24"/>
    <sheet name="Plan4" sheetId="23" r:id="rId25"/>
    <sheet name="Plan3" sheetId="22" r:id="rId26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17" i="5" l="1"/>
  <c r="C17" i="11"/>
  <c r="C17" i="3"/>
  <c r="C7" i="23" l="1"/>
  <c r="H13" i="23" l="1"/>
  <c r="H15" i="23"/>
  <c r="H14" i="23"/>
  <c r="H12" i="23"/>
  <c r="C13" i="23"/>
  <c r="C16" i="23"/>
  <c r="C7" i="22" l="1"/>
  <c r="C14" i="22" l="1"/>
  <c r="C13" i="22"/>
  <c r="C17" i="21" l="1"/>
  <c r="C24" i="21"/>
  <c r="C23" i="21"/>
  <c r="H12" i="21"/>
  <c r="H14" i="21"/>
  <c r="C21" i="21"/>
  <c r="C18" i="21"/>
  <c r="H13" i="21"/>
  <c r="C13" i="21"/>
  <c r="C7" i="21"/>
  <c r="C7" i="20"/>
  <c r="C20" i="20" l="1"/>
  <c r="H14" i="20"/>
  <c r="C21" i="20"/>
  <c r="C22" i="20"/>
  <c r="C17" i="20"/>
  <c r="C22" i="21"/>
  <c r="C16" i="21"/>
  <c r="C16" i="20"/>
  <c r="H12" i="20"/>
  <c r="C13" i="20"/>
  <c r="H13" i="20"/>
  <c r="C7" i="19" l="1"/>
  <c r="H14" i="19" s="1"/>
  <c r="H13" i="19" l="1"/>
  <c r="H15" i="19"/>
  <c r="C16" i="19"/>
  <c r="C13" i="19"/>
  <c r="H12" i="19"/>
  <c r="C7" i="18"/>
  <c r="C25" i="18" l="1"/>
  <c r="C17" i="18"/>
  <c r="H12" i="18"/>
  <c r="H15" i="18"/>
  <c r="H20" i="18"/>
  <c r="C13" i="18"/>
  <c r="C16" i="18"/>
  <c r="H13" i="18"/>
  <c r="H16" i="18"/>
  <c r="H21" i="18"/>
  <c r="H14" i="18"/>
  <c r="C7" i="17" l="1"/>
  <c r="C7" i="16"/>
  <c r="C16" i="16" s="1"/>
  <c r="C7" i="15"/>
  <c r="C20" i="15" s="1"/>
  <c r="H20" i="17" l="1"/>
  <c r="H21" i="17"/>
  <c r="C20" i="16"/>
  <c r="H15" i="17"/>
  <c r="H16" i="17"/>
  <c r="C16" i="17"/>
  <c r="C13" i="17"/>
  <c r="C20" i="17"/>
  <c r="H13" i="17"/>
  <c r="C16" i="15"/>
  <c r="H14" i="17"/>
  <c r="H12" i="17"/>
  <c r="H14" i="16"/>
  <c r="H13" i="16"/>
  <c r="H12" i="16"/>
  <c r="H15" i="16"/>
  <c r="H16" i="16"/>
  <c r="C13" i="16"/>
  <c r="H13" i="15"/>
  <c r="H16" i="15"/>
  <c r="H14" i="15"/>
  <c r="H12" i="15"/>
  <c r="H15" i="15"/>
  <c r="C13" i="15"/>
  <c r="C7" i="14"/>
  <c r="C16" i="14" s="1"/>
  <c r="C7" i="13"/>
  <c r="C7" i="12"/>
  <c r="C18" i="5"/>
  <c r="C21" i="12" l="1"/>
  <c r="C17" i="12"/>
  <c r="H13" i="14"/>
  <c r="H16" i="14"/>
  <c r="C20" i="13"/>
  <c r="C17" i="13"/>
  <c r="C16" i="13"/>
  <c r="H12" i="13"/>
  <c r="H20" i="12"/>
  <c r="H16" i="13"/>
  <c r="H15" i="12"/>
  <c r="H13" i="12"/>
  <c r="C25" i="12"/>
  <c r="H16" i="12"/>
  <c r="H21" i="12"/>
  <c r="H12" i="12"/>
  <c r="C13" i="14"/>
  <c r="H14" i="14"/>
  <c r="H12" i="14"/>
  <c r="H15" i="14"/>
  <c r="H14" i="13"/>
  <c r="H15" i="13"/>
  <c r="C13" i="13"/>
  <c r="H13" i="13"/>
  <c r="H14" i="12"/>
  <c r="C13" i="12"/>
  <c r="C16" i="12"/>
  <c r="H16" i="11" l="1"/>
  <c r="C16" i="11"/>
  <c r="H13" i="11"/>
  <c r="C13" i="11"/>
  <c r="H12" i="11"/>
  <c r="C7" i="11"/>
  <c r="H15" i="11" s="1"/>
  <c r="C7" i="10"/>
  <c r="H16" i="10" l="1"/>
  <c r="C17" i="10"/>
  <c r="H13" i="10"/>
  <c r="H15" i="10"/>
  <c r="C21" i="10"/>
  <c r="H14" i="11"/>
  <c r="C25" i="11"/>
  <c r="H12" i="10"/>
  <c r="C13" i="10"/>
  <c r="C16" i="10"/>
  <c r="H14" i="10"/>
  <c r="C25" i="10"/>
  <c r="C7" i="9" l="1"/>
  <c r="C7" i="8"/>
  <c r="C7" i="7"/>
  <c r="C17" i="7" s="1"/>
  <c r="C7" i="6"/>
  <c r="H15" i="5"/>
  <c r="H13" i="5"/>
  <c r="H12" i="5"/>
  <c r="C7" i="5"/>
  <c r="H16" i="5" s="1"/>
  <c r="C7" i="4"/>
  <c r="C17" i="4" s="1"/>
  <c r="C7" i="3"/>
  <c r="H12" i="3" s="1"/>
  <c r="C7" i="2"/>
  <c r="C17" i="2" s="1"/>
  <c r="C7" i="1"/>
  <c r="H13" i="1" l="1"/>
  <c r="C17" i="1"/>
  <c r="C18" i="6"/>
  <c r="C17" i="6"/>
  <c r="H13" i="9"/>
  <c r="C17" i="9"/>
  <c r="C25" i="8"/>
  <c r="C17" i="8"/>
  <c r="H15" i="7"/>
  <c r="C21" i="7"/>
  <c r="H13" i="8"/>
  <c r="C21" i="8"/>
  <c r="H13" i="7"/>
  <c r="C16" i="7"/>
  <c r="C13" i="7"/>
  <c r="H16" i="7"/>
  <c r="H12" i="7"/>
  <c r="H13" i="4"/>
  <c r="C18" i="4"/>
  <c r="C25" i="6"/>
  <c r="C21" i="6"/>
  <c r="H16" i="6"/>
  <c r="H13" i="6"/>
  <c r="H15" i="6"/>
  <c r="H12" i="6"/>
  <c r="H16" i="8"/>
  <c r="C22" i="8"/>
  <c r="H12" i="8"/>
  <c r="H15" i="8"/>
  <c r="H15" i="4"/>
  <c r="H12" i="4"/>
  <c r="C25" i="4"/>
  <c r="C21" i="4"/>
  <c r="H16" i="4"/>
  <c r="C22" i="2"/>
  <c r="C18" i="2"/>
  <c r="H15" i="2"/>
  <c r="H12" i="2"/>
  <c r="H16" i="2"/>
  <c r="C13" i="2"/>
  <c r="H13" i="2"/>
  <c r="C22" i="9"/>
  <c r="C25" i="9"/>
  <c r="C21" i="9"/>
  <c r="H15" i="9"/>
  <c r="H12" i="9"/>
  <c r="C16" i="9"/>
  <c r="C13" i="9"/>
  <c r="H16" i="9"/>
  <c r="H16" i="3"/>
  <c r="C16" i="3"/>
  <c r="C21" i="3"/>
  <c r="H13" i="3"/>
  <c r="H15" i="3"/>
  <c r="H15" i="1"/>
  <c r="H16" i="1"/>
  <c r="C21" i="1"/>
  <c r="H12" i="1"/>
  <c r="H14" i="9"/>
  <c r="H14" i="1"/>
  <c r="C16" i="2"/>
  <c r="H14" i="3"/>
  <c r="C25" i="3"/>
  <c r="C13" i="4"/>
  <c r="C16" i="4"/>
  <c r="H14" i="5"/>
  <c r="C25" i="5"/>
  <c r="C13" i="6"/>
  <c r="C16" i="6"/>
  <c r="H14" i="7"/>
  <c r="C25" i="7"/>
  <c r="C13" i="8"/>
  <c r="C16" i="8"/>
  <c r="C13" i="1"/>
  <c r="C16" i="1"/>
  <c r="H14" i="2"/>
  <c r="C13" i="3"/>
  <c r="H14" i="4"/>
  <c r="C13" i="5"/>
  <c r="C16" i="5"/>
  <c r="H14" i="6"/>
  <c r="H14" i="8"/>
</calcChain>
</file>

<file path=xl/sharedStrings.xml><?xml version="1.0" encoding="utf-8"?>
<sst xmlns="http://schemas.openxmlformats.org/spreadsheetml/2006/main" count="521" uniqueCount="57">
  <si>
    <t>HIPER DESTROI</t>
  </si>
  <si>
    <t>PESO PEÇA (EM GRAMAS)</t>
  </si>
  <si>
    <t xml:space="preserve">  PESO DE 1 PEÇA</t>
  </si>
  <si>
    <t xml:space="preserve">QUANTIDADE </t>
  </si>
  <si>
    <t xml:space="preserve">  TOTAL DE PEÇAS</t>
  </si>
  <si>
    <t>PESO FICHA (EM KG)</t>
  </si>
  <si>
    <t xml:space="preserve">  PESO TOTAL DA FICHA</t>
  </si>
  <si>
    <t>PROCESSOS</t>
  </si>
  <si>
    <t>DESENGOMAGEM</t>
  </si>
  <si>
    <t>ALVEJAMENTO</t>
  </si>
  <si>
    <t>QUANTIDADE (G)</t>
  </si>
  <si>
    <t>A.C.</t>
  </si>
  <si>
    <t>DESENGOMANTE</t>
  </si>
  <si>
    <t>ANTIMIGRANTE</t>
  </si>
  <si>
    <t>PEROX</t>
  </si>
  <si>
    <t>ESTONAGEM</t>
  </si>
  <si>
    <t>DERUSTO</t>
  </si>
  <si>
    <t>ADITIVO</t>
  </si>
  <si>
    <t>ENZIMA</t>
  </si>
  <si>
    <t>PÓ</t>
  </si>
  <si>
    <t>MARMORIZADO</t>
  </si>
  <si>
    <t>CLAREAMENTO</t>
  </si>
  <si>
    <t>CLORO LIQUIDO</t>
  </si>
  <si>
    <t>CLORO</t>
  </si>
  <si>
    <t>PERMANGANATO</t>
  </si>
  <si>
    <t>NEUTRALIZAÇÃO</t>
  </si>
  <si>
    <t>META</t>
  </si>
  <si>
    <t>HIPER DESTROI NO PÓ</t>
  </si>
  <si>
    <t>HIPER DESTROI MÉDIO</t>
  </si>
  <si>
    <t>HIPER DESTROI CLARO PÓ</t>
  </si>
  <si>
    <t>HIPER DESTROI ESCURO NO PÓ</t>
  </si>
  <si>
    <t>HIPER DESTROI MÉDIO NO PÓ</t>
  </si>
  <si>
    <t>CRISTAL</t>
  </si>
  <si>
    <t>SKY OXI</t>
  </si>
  <si>
    <t>PO</t>
  </si>
  <si>
    <t>SKY</t>
  </si>
  <si>
    <t>HIPER DESTROI CLARO</t>
  </si>
  <si>
    <t>OXY</t>
  </si>
  <si>
    <t>LIQUIDO</t>
  </si>
  <si>
    <t>ESPUMANTE</t>
  </si>
  <si>
    <t>HIPER DESTROI CLARO MARMORIZADO</t>
  </si>
  <si>
    <t>TINGIMENTO PRETO</t>
  </si>
  <si>
    <t>TINGIMENTO</t>
  </si>
  <si>
    <t>PQUEST</t>
  </si>
  <si>
    <t>PRETO DIRETO</t>
  </si>
  <si>
    <t>SAL</t>
  </si>
  <si>
    <t>FIXADOR</t>
  </si>
  <si>
    <t>AMERICANO</t>
  </si>
  <si>
    <t>ATIVADOR</t>
  </si>
  <si>
    <t>ALVEJADO</t>
  </si>
  <si>
    <t>TOT AX</t>
  </si>
  <si>
    <t xml:space="preserve">TINGIMENTO </t>
  </si>
  <si>
    <t>turquesa</t>
  </si>
  <si>
    <t>barrilha</t>
  </si>
  <si>
    <t>AGUA</t>
  </si>
  <si>
    <t>HIPER DESTROI  MARMORIZADO</t>
  </si>
  <si>
    <t>CRISTAL MARMORIZADO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</si>
</sst>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\-??_-;_-@_-"/>
  </numFmts>
  <fonts count="7" x14ac:knownFonts="1">
    <font>
      <sz val="10"/>
      <name val="Arial"/>
      <family val="2"/>
    </font>
    <font>
      <b/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7"/>
      <name val="Arial"/>
      <family val="2"/>
    </font>
    <font>
      <b/>
      <sz val="14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b/>
      <sz val="11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DCE6"/>
        <bgColor rgb="FFCCFFFF"/>
      </patternFill>
    </fill>
  </fills>
  <borders count="13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4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2" fillId="3" borderId="5" xfId="0" applyFont="1" applyFill="1" applyBorder="1"/>
    <xf numFmtId="0" fontId="0" fillId="2" borderId="5" xfId="0" applyFill="1" applyBorder="1"/>
    <xf numFmtId="0" fontId="3" fillId="2" borderId="0" xfId="0" applyFont="1" applyFill="1"/>
    <xf numFmtId="0" fontId="0" fillId="2" borderId="0" xfId="0" applyFill="1" applyBorder="1"/>
    <xf numFmtId="4" fontId="2" fillId="2" borderId="5" xfId="1" applyNumberFormat="1" applyFont="1" applyFill="1" applyBorder="1" applyAlignment="1" applyProtection="1"/>
    <xf numFmtId="0" fontId="5" fillId="2" borderId="0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/>
    <xf numFmtId="0" fontId="5" fillId="2" borderId="0" xfId="0" applyFont="1" applyFill="1" applyBorder="1"/>
    <xf numFmtId="0" fontId="0" fillId="2" borderId="7" xfId="0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3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554400</xdr:colOff>
      <xdr:row>0</xdr:row>
      <xdr:rowOff>715320</xdr:rowOff>
    </xdr:from>
    <xdr:to>
      <xdr:col>9</xdr:col>
      <xdr:colOff>119520</xdr:colOff>
      <xdr:row>8</xdr:row>
      <xdr:rowOff>180000</xdr:rowOff>
    </xdr:to>
    <xdr:pic>
      <xdr:nvPicPr>
        <xdr:cNvPr id="4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76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578745</xdr:colOff>
      <xdr:row>9</xdr:row>
      <xdr:rowOff>8280</xdr:rowOff>
    </xdr:to>
    <xdr:pic>
      <xdr:nvPicPr>
        <xdr:cNvPr id="5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40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1645920</xdr:colOff>
      <xdr:row>0</xdr:row>
      <xdr:rowOff>100080</xdr:rowOff>
    </xdr:from>
    <xdr:to>
      <xdr:col>7</xdr:col>
      <xdr:colOff>148680</xdr:colOff>
      <xdr:row>0</xdr:row>
      <xdr:rowOff>534240</xdr:rowOff>
    </xdr:to>
    <xdr:pic>
      <xdr:nvPicPr>
        <xdr:cNvPr id="6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00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0</xdr:row>
      <xdr:rowOff>715320</xdr:rowOff>
    </xdr:from>
    <xdr:to>
      <xdr:col>9</xdr:col>
      <xdr:colOff>119160</xdr:colOff>
      <xdr:row>8</xdr:row>
      <xdr:rowOff>180000</xdr:rowOff>
    </xdr:to>
    <xdr:pic>
      <xdr:nvPicPr>
        <xdr:cNvPr id="7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40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578385</xdr:colOff>
      <xdr:row>9</xdr:row>
      <xdr:rowOff>8280</xdr:rowOff>
    </xdr:to>
    <xdr:pic>
      <xdr:nvPicPr>
        <xdr:cNvPr id="8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04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1579245</xdr:colOff>
      <xdr:row>0</xdr:row>
      <xdr:rowOff>100080</xdr:rowOff>
    </xdr:from>
    <xdr:to>
      <xdr:col>7</xdr:col>
      <xdr:colOff>5805</xdr:colOff>
      <xdr:row>0</xdr:row>
      <xdr:rowOff>571500</xdr:rowOff>
    </xdr:to>
    <xdr:pic>
      <xdr:nvPicPr>
        <xdr:cNvPr id="6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722120" y="100080"/>
          <a:ext cx="2941410" cy="4714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1</xdr:row>
      <xdr:rowOff>945</xdr:rowOff>
    </xdr:from>
    <xdr:to>
      <xdr:col>9</xdr:col>
      <xdr:colOff>33435</xdr:colOff>
      <xdr:row>8</xdr:row>
      <xdr:rowOff>171450</xdr:rowOff>
    </xdr:to>
    <xdr:pic>
      <xdr:nvPicPr>
        <xdr:cNvPr id="7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135440" y="715320"/>
          <a:ext cx="1717770" cy="146590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464085</xdr:colOff>
      <xdr:row>9</xdr:row>
      <xdr:rowOff>76200</xdr:rowOff>
    </xdr:to>
    <xdr:pic>
      <xdr:nvPicPr>
        <xdr:cNvPr id="8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570585" y="671040"/>
          <a:ext cx="2713275" cy="16435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7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8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554400</xdr:colOff>
      <xdr:row>0</xdr:row>
      <xdr:rowOff>715320</xdr:rowOff>
    </xdr:from>
    <xdr:to>
      <xdr:col>9</xdr:col>
      <xdr:colOff>119520</xdr:colOff>
      <xdr:row>8</xdr:row>
      <xdr:rowOff>180000</xdr:rowOff>
    </xdr:to>
    <xdr:pic>
      <xdr:nvPicPr>
        <xdr:cNvPr id="9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76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578745</xdr:colOff>
      <xdr:row>9</xdr:row>
      <xdr:rowOff>8280</xdr:rowOff>
    </xdr:to>
    <xdr:pic>
      <xdr:nvPicPr>
        <xdr:cNvPr id="10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40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1645920</xdr:colOff>
      <xdr:row>0</xdr:row>
      <xdr:rowOff>100080</xdr:rowOff>
    </xdr:from>
    <xdr:to>
      <xdr:col>7</xdr:col>
      <xdr:colOff>148680</xdr:colOff>
      <xdr:row>0</xdr:row>
      <xdr:rowOff>534240</xdr:rowOff>
    </xdr:to>
    <xdr:pic>
      <xdr:nvPicPr>
        <xdr:cNvPr id="11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00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0</xdr:row>
      <xdr:rowOff>715320</xdr:rowOff>
    </xdr:from>
    <xdr:to>
      <xdr:col>9</xdr:col>
      <xdr:colOff>119160</xdr:colOff>
      <xdr:row>8</xdr:row>
      <xdr:rowOff>180000</xdr:rowOff>
    </xdr:to>
    <xdr:pic>
      <xdr:nvPicPr>
        <xdr:cNvPr id="12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40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578385</xdr:colOff>
      <xdr:row>9</xdr:row>
      <xdr:rowOff>8280</xdr:rowOff>
    </xdr:to>
    <xdr:pic>
      <xdr:nvPicPr>
        <xdr:cNvPr id="13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04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14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15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554400</xdr:colOff>
      <xdr:row>0</xdr:row>
      <xdr:rowOff>715320</xdr:rowOff>
    </xdr:from>
    <xdr:to>
      <xdr:col>9</xdr:col>
      <xdr:colOff>119520</xdr:colOff>
      <xdr:row>8</xdr:row>
      <xdr:rowOff>180000</xdr:rowOff>
    </xdr:to>
    <xdr:pic>
      <xdr:nvPicPr>
        <xdr:cNvPr id="16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76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578745</xdr:colOff>
      <xdr:row>9</xdr:row>
      <xdr:rowOff>8280</xdr:rowOff>
    </xdr:to>
    <xdr:pic>
      <xdr:nvPicPr>
        <xdr:cNvPr id="17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40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1645920</xdr:colOff>
      <xdr:row>0</xdr:row>
      <xdr:rowOff>100080</xdr:rowOff>
    </xdr:from>
    <xdr:to>
      <xdr:col>7</xdr:col>
      <xdr:colOff>148680</xdr:colOff>
      <xdr:row>0</xdr:row>
      <xdr:rowOff>534240</xdr:rowOff>
    </xdr:to>
    <xdr:pic>
      <xdr:nvPicPr>
        <xdr:cNvPr id="18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00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0</xdr:row>
      <xdr:rowOff>715320</xdr:rowOff>
    </xdr:from>
    <xdr:to>
      <xdr:col>9</xdr:col>
      <xdr:colOff>119160</xdr:colOff>
      <xdr:row>8</xdr:row>
      <xdr:rowOff>180000</xdr:rowOff>
    </xdr:to>
    <xdr:pic>
      <xdr:nvPicPr>
        <xdr:cNvPr id="19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40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578385</xdr:colOff>
      <xdr:row>9</xdr:row>
      <xdr:rowOff>8280</xdr:rowOff>
    </xdr:to>
    <xdr:pic>
      <xdr:nvPicPr>
        <xdr:cNvPr id="20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04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554400</xdr:colOff>
      <xdr:row>1</xdr:row>
      <xdr:rowOff>946</xdr:rowOff>
    </xdr:from>
    <xdr:to>
      <xdr:col>9</xdr:col>
      <xdr:colOff>33795</xdr:colOff>
      <xdr:row>8</xdr:row>
      <xdr:rowOff>104776</xdr:rowOff>
    </xdr:to>
    <xdr:pic>
      <xdr:nvPicPr>
        <xdr:cNvPr id="4" name="Figura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4135800" y="715321"/>
          <a:ext cx="1717770" cy="139923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464445</xdr:colOff>
      <xdr:row>9</xdr:row>
      <xdr:rowOff>38100</xdr:rowOff>
    </xdr:to>
    <xdr:pic>
      <xdr:nvPicPr>
        <xdr:cNvPr id="5" name="Figura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3570945" y="671040"/>
          <a:ext cx="2713275" cy="160543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1579245</xdr:colOff>
      <xdr:row>0</xdr:row>
      <xdr:rowOff>100080</xdr:rowOff>
    </xdr:from>
    <xdr:to>
      <xdr:col>7</xdr:col>
      <xdr:colOff>5805</xdr:colOff>
      <xdr:row>0</xdr:row>
      <xdr:rowOff>609600</xdr:rowOff>
    </xdr:to>
    <xdr:pic>
      <xdr:nvPicPr>
        <xdr:cNvPr id="6" name="Figura 1"/>
        <xdr:cNvPicPr/>
      </xdr:nvPicPr>
      <xdr:blipFill>
        <a:blip xmlns:r="http://schemas.openxmlformats.org/officeDocument/2006/relationships" r:embed="rId3"/>
        <a:stretch/>
      </xdr:blipFill>
      <xdr:spPr>
        <a:xfrm>
          <a:off x="1722120" y="100080"/>
          <a:ext cx="2941410" cy="50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35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36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554400</xdr:colOff>
      <xdr:row>0</xdr:row>
      <xdr:rowOff>715320</xdr:rowOff>
    </xdr:from>
    <xdr:to>
      <xdr:col>9</xdr:col>
      <xdr:colOff>119520</xdr:colOff>
      <xdr:row>8</xdr:row>
      <xdr:rowOff>180000</xdr:rowOff>
    </xdr:to>
    <xdr:pic>
      <xdr:nvPicPr>
        <xdr:cNvPr id="37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76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578745</xdr:colOff>
      <xdr:row>9</xdr:row>
      <xdr:rowOff>8280</xdr:rowOff>
    </xdr:to>
    <xdr:pic>
      <xdr:nvPicPr>
        <xdr:cNvPr id="38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40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1645920</xdr:colOff>
      <xdr:row>0</xdr:row>
      <xdr:rowOff>100080</xdr:rowOff>
    </xdr:from>
    <xdr:to>
      <xdr:col>7</xdr:col>
      <xdr:colOff>148680</xdr:colOff>
      <xdr:row>0</xdr:row>
      <xdr:rowOff>534240</xdr:rowOff>
    </xdr:to>
    <xdr:pic>
      <xdr:nvPicPr>
        <xdr:cNvPr id="39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00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0</xdr:row>
      <xdr:rowOff>715320</xdr:rowOff>
    </xdr:from>
    <xdr:to>
      <xdr:col>9</xdr:col>
      <xdr:colOff>119160</xdr:colOff>
      <xdr:row>8</xdr:row>
      <xdr:rowOff>180000</xdr:rowOff>
    </xdr:to>
    <xdr:pic>
      <xdr:nvPicPr>
        <xdr:cNvPr id="40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40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578385</xdr:colOff>
      <xdr:row>9</xdr:row>
      <xdr:rowOff>8280</xdr:rowOff>
    </xdr:to>
    <xdr:pic>
      <xdr:nvPicPr>
        <xdr:cNvPr id="41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04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563925</xdr:colOff>
      <xdr:row>1</xdr:row>
      <xdr:rowOff>39046</xdr:rowOff>
    </xdr:from>
    <xdr:to>
      <xdr:col>9</xdr:col>
      <xdr:colOff>43320</xdr:colOff>
      <xdr:row>8</xdr:row>
      <xdr:rowOff>209550</xdr:rowOff>
    </xdr:to>
    <xdr:pic>
      <xdr:nvPicPr>
        <xdr:cNvPr id="4" name="Figura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4145325" y="753421"/>
          <a:ext cx="1717770" cy="1465904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18120</xdr:colOff>
      <xdr:row>0</xdr:row>
      <xdr:rowOff>699616</xdr:rowOff>
    </xdr:from>
    <xdr:to>
      <xdr:col>10</xdr:col>
      <xdr:colOff>28575</xdr:colOff>
      <xdr:row>9</xdr:row>
      <xdr:rowOff>19051</xdr:rowOff>
    </xdr:to>
    <xdr:pic>
      <xdr:nvPicPr>
        <xdr:cNvPr id="5" name="Figura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3599520" y="699616"/>
          <a:ext cx="2829855" cy="15578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1579245</xdr:colOff>
      <xdr:row>0</xdr:row>
      <xdr:rowOff>100080</xdr:rowOff>
    </xdr:from>
    <xdr:to>
      <xdr:col>7</xdr:col>
      <xdr:colOff>5805</xdr:colOff>
      <xdr:row>0</xdr:row>
      <xdr:rowOff>571500</xdr:rowOff>
    </xdr:to>
    <xdr:pic>
      <xdr:nvPicPr>
        <xdr:cNvPr id="6" name="Figura 1"/>
        <xdr:cNvPicPr/>
      </xdr:nvPicPr>
      <xdr:blipFill>
        <a:blip xmlns:r="http://schemas.openxmlformats.org/officeDocument/2006/relationships" r:embed="rId3"/>
        <a:stretch/>
      </xdr:blipFill>
      <xdr:spPr>
        <a:xfrm>
          <a:off x="1722120" y="100080"/>
          <a:ext cx="2941410" cy="4714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21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2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554400</xdr:colOff>
      <xdr:row>0</xdr:row>
      <xdr:rowOff>715320</xdr:rowOff>
    </xdr:from>
    <xdr:to>
      <xdr:col>9</xdr:col>
      <xdr:colOff>119520</xdr:colOff>
      <xdr:row>8</xdr:row>
      <xdr:rowOff>180000</xdr:rowOff>
    </xdr:to>
    <xdr:pic>
      <xdr:nvPicPr>
        <xdr:cNvPr id="23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76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578745</xdr:colOff>
      <xdr:row>9</xdr:row>
      <xdr:rowOff>8280</xdr:rowOff>
    </xdr:to>
    <xdr:pic>
      <xdr:nvPicPr>
        <xdr:cNvPr id="24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40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1645920</xdr:colOff>
      <xdr:row>0</xdr:row>
      <xdr:rowOff>100080</xdr:rowOff>
    </xdr:from>
    <xdr:to>
      <xdr:col>7</xdr:col>
      <xdr:colOff>148680</xdr:colOff>
      <xdr:row>0</xdr:row>
      <xdr:rowOff>534240</xdr:rowOff>
    </xdr:to>
    <xdr:pic>
      <xdr:nvPicPr>
        <xdr:cNvPr id="25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00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0</xdr:row>
      <xdr:rowOff>715320</xdr:rowOff>
    </xdr:from>
    <xdr:to>
      <xdr:col>9</xdr:col>
      <xdr:colOff>119160</xdr:colOff>
      <xdr:row>8</xdr:row>
      <xdr:rowOff>180000</xdr:rowOff>
    </xdr:to>
    <xdr:pic>
      <xdr:nvPicPr>
        <xdr:cNvPr id="26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40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578385</xdr:colOff>
      <xdr:row>9</xdr:row>
      <xdr:rowOff>8280</xdr:rowOff>
    </xdr:to>
    <xdr:pic>
      <xdr:nvPicPr>
        <xdr:cNvPr id="27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04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563925</xdr:colOff>
      <xdr:row>1</xdr:row>
      <xdr:rowOff>39046</xdr:rowOff>
    </xdr:from>
    <xdr:to>
      <xdr:col>8</xdr:col>
      <xdr:colOff>538620</xdr:colOff>
      <xdr:row>8</xdr:row>
      <xdr:rowOff>104775</xdr:rowOff>
    </xdr:to>
    <xdr:pic>
      <xdr:nvPicPr>
        <xdr:cNvPr id="2" name="Figura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4145325" y="753421"/>
          <a:ext cx="1632045" cy="136112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18120</xdr:colOff>
      <xdr:row>0</xdr:row>
      <xdr:rowOff>699616</xdr:rowOff>
    </xdr:from>
    <xdr:to>
      <xdr:col>9</xdr:col>
      <xdr:colOff>495300</xdr:colOff>
      <xdr:row>8</xdr:row>
      <xdr:rowOff>190500</xdr:rowOff>
    </xdr:to>
    <xdr:pic>
      <xdr:nvPicPr>
        <xdr:cNvPr id="3" name="Figura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3599520" y="699616"/>
          <a:ext cx="2715555" cy="150065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1579245</xdr:colOff>
      <xdr:row>0</xdr:row>
      <xdr:rowOff>100080</xdr:rowOff>
    </xdr:from>
    <xdr:to>
      <xdr:col>6</xdr:col>
      <xdr:colOff>967830</xdr:colOff>
      <xdr:row>0</xdr:row>
      <xdr:rowOff>581025</xdr:rowOff>
    </xdr:to>
    <xdr:pic>
      <xdr:nvPicPr>
        <xdr:cNvPr id="4" name="Figura 1"/>
        <xdr:cNvPicPr/>
      </xdr:nvPicPr>
      <xdr:blipFill>
        <a:blip xmlns:r="http://schemas.openxmlformats.org/officeDocument/2006/relationships" r:embed="rId3"/>
        <a:stretch/>
      </xdr:blipFill>
      <xdr:spPr>
        <a:xfrm>
          <a:off x="1722120" y="100080"/>
          <a:ext cx="2827110" cy="48094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554400</xdr:colOff>
      <xdr:row>1</xdr:row>
      <xdr:rowOff>945</xdr:rowOff>
    </xdr:from>
    <xdr:to>
      <xdr:col>9</xdr:col>
      <xdr:colOff>33795</xdr:colOff>
      <xdr:row>8</xdr:row>
      <xdr:rowOff>152400</xdr:rowOff>
    </xdr:to>
    <xdr:pic>
      <xdr:nvPicPr>
        <xdr:cNvPr id="4" name="Figura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4135800" y="715320"/>
          <a:ext cx="1717770" cy="144685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85725</xdr:colOff>
      <xdr:row>0</xdr:row>
      <xdr:rowOff>690090</xdr:rowOff>
    </xdr:from>
    <xdr:to>
      <xdr:col>10</xdr:col>
      <xdr:colOff>9525</xdr:colOff>
      <xdr:row>9</xdr:row>
      <xdr:rowOff>19050</xdr:rowOff>
    </xdr:to>
    <xdr:pic>
      <xdr:nvPicPr>
        <xdr:cNvPr id="5" name="Figura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3562350" y="690090"/>
          <a:ext cx="2847975" cy="156733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1579245</xdr:colOff>
      <xdr:row>0</xdr:row>
      <xdr:rowOff>100080</xdr:rowOff>
    </xdr:from>
    <xdr:to>
      <xdr:col>7</xdr:col>
      <xdr:colOff>5805</xdr:colOff>
      <xdr:row>0</xdr:row>
      <xdr:rowOff>581025</xdr:rowOff>
    </xdr:to>
    <xdr:pic>
      <xdr:nvPicPr>
        <xdr:cNvPr id="6" name="Figura 1"/>
        <xdr:cNvPicPr/>
      </xdr:nvPicPr>
      <xdr:blipFill>
        <a:blip xmlns:r="http://schemas.openxmlformats.org/officeDocument/2006/relationships" r:embed="rId3"/>
        <a:stretch/>
      </xdr:blipFill>
      <xdr:spPr>
        <a:xfrm>
          <a:off x="1722120" y="100080"/>
          <a:ext cx="2941410" cy="48094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28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29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554400</xdr:colOff>
      <xdr:row>0</xdr:row>
      <xdr:rowOff>715320</xdr:rowOff>
    </xdr:from>
    <xdr:to>
      <xdr:col>9</xdr:col>
      <xdr:colOff>119520</xdr:colOff>
      <xdr:row>8</xdr:row>
      <xdr:rowOff>180000</xdr:rowOff>
    </xdr:to>
    <xdr:pic>
      <xdr:nvPicPr>
        <xdr:cNvPr id="30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76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578745</xdr:colOff>
      <xdr:row>9</xdr:row>
      <xdr:rowOff>8280</xdr:rowOff>
    </xdr:to>
    <xdr:pic>
      <xdr:nvPicPr>
        <xdr:cNvPr id="31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40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1645920</xdr:colOff>
      <xdr:row>0</xdr:row>
      <xdr:rowOff>100080</xdr:rowOff>
    </xdr:from>
    <xdr:to>
      <xdr:col>7</xdr:col>
      <xdr:colOff>148680</xdr:colOff>
      <xdr:row>0</xdr:row>
      <xdr:rowOff>534240</xdr:rowOff>
    </xdr:to>
    <xdr:pic>
      <xdr:nvPicPr>
        <xdr:cNvPr id="3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00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0</xdr:row>
      <xdr:rowOff>715320</xdr:rowOff>
    </xdr:from>
    <xdr:to>
      <xdr:col>9</xdr:col>
      <xdr:colOff>119160</xdr:colOff>
      <xdr:row>8</xdr:row>
      <xdr:rowOff>180000</xdr:rowOff>
    </xdr:to>
    <xdr:pic>
      <xdr:nvPicPr>
        <xdr:cNvPr id="33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40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578385</xdr:colOff>
      <xdr:row>9</xdr:row>
      <xdr:rowOff>8280</xdr:rowOff>
    </xdr:to>
    <xdr:pic>
      <xdr:nvPicPr>
        <xdr:cNvPr id="34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04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4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43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554400</xdr:colOff>
      <xdr:row>0</xdr:row>
      <xdr:rowOff>715320</xdr:rowOff>
    </xdr:from>
    <xdr:to>
      <xdr:col>9</xdr:col>
      <xdr:colOff>119520</xdr:colOff>
      <xdr:row>8</xdr:row>
      <xdr:rowOff>180000</xdr:rowOff>
    </xdr:to>
    <xdr:pic>
      <xdr:nvPicPr>
        <xdr:cNvPr id="44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76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578745</xdr:colOff>
      <xdr:row>9</xdr:row>
      <xdr:rowOff>8280</xdr:rowOff>
    </xdr:to>
    <xdr:pic>
      <xdr:nvPicPr>
        <xdr:cNvPr id="45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40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1645920</xdr:colOff>
      <xdr:row>0</xdr:row>
      <xdr:rowOff>100080</xdr:rowOff>
    </xdr:from>
    <xdr:to>
      <xdr:col>7</xdr:col>
      <xdr:colOff>148680</xdr:colOff>
      <xdr:row>0</xdr:row>
      <xdr:rowOff>534240</xdr:rowOff>
    </xdr:to>
    <xdr:pic>
      <xdr:nvPicPr>
        <xdr:cNvPr id="46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00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0</xdr:row>
      <xdr:rowOff>715320</xdr:rowOff>
    </xdr:from>
    <xdr:to>
      <xdr:col>9</xdr:col>
      <xdr:colOff>119160</xdr:colOff>
      <xdr:row>8</xdr:row>
      <xdr:rowOff>180000</xdr:rowOff>
    </xdr:to>
    <xdr:pic>
      <xdr:nvPicPr>
        <xdr:cNvPr id="47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40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578385</xdr:colOff>
      <xdr:row>9</xdr:row>
      <xdr:rowOff>8280</xdr:rowOff>
    </xdr:to>
    <xdr:pic>
      <xdr:nvPicPr>
        <xdr:cNvPr id="48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04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554400</xdr:colOff>
      <xdr:row>1</xdr:row>
      <xdr:rowOff>190500</xdr:rowOff>
    </xdr:from>
    <xdr:to>
      <xdr:col>9</xdr:col>
      <xdr:colOff>33795</xdr:colOff>
      <xdr:row>8</xdr:row>
      <xdr:rowOff>171450</xdr:rowOff>
    </xdr:to>
    <xdr:pic>
      <xdr:nvPicPr>
        <xdr:cNvPr id="4" name="Figura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4135800" y="904875"/>
          <a:ext cx="1717770" cy="12763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8595</xdr:colOff>
      <xdr:row>1</xdr:row>
      <xdr:rowOff>19050</xdr:rowOff>
    </xdr:from>
    <xdr:to>
      <xdr:col>9</xdr:col>
      <xdr:colOff>523875</xdr:colOff>
      <xdr:row>9</xdr:row>
      <xdr:rowOff>38100</xdr:rowOff>
    </xdr:to>
    <xdr:pic>
      <xdr:nvPicPr>
        <xdr:cNvPr id="5" name="Figura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3589995" y="733425"/>
          <a:ext cx="2753655" cy="15430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1579245</xdr:colOff>
      <xdr:row>0</xdr:row>
      <xdr:rowOff>100080</xdr:rowOff>
    </xdr:from>
    <xdr:to>
      <xdr:col>7</xdr:col>
      <xdr:colOff>5805</xdr:colOff>
      <xdr:row>0</xdr:row>
      <xdr:rowOff>638175</xdr:rowOff>
    </xdr:to>
    <xdr:pic>
      <xdr:nvPicPr>
        <xdr:cNvPr id="6" name="Figura 1"/>
        <xdr:cNvPicPr/>
      </xdr:nvPicPr>
      <xdr:blipFill>
        <a:blip xmlns:r="http://schemas.openxmlformats.org/officeDocument/2006/relationships" r:embed="rId3"/>
        <a:stretch/>
      </xdr:blipFill>
      <xdr:spPr>
        <a:xfrm>
          <a:off x="1722120" y="100080"/>
          <a:ext cx="2941410" cy="53809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554400</xdr:colOff>
      <xdr:row>1</xdr:row>
      <xdr:rowOff>190501</xdr:rowOff>
    </xdr:from>
    <xdr:to>
      <xdr:col>8</xdr:col>
      <xdr:colOff>529095</xdr:colOff>
      <xdr:row>8</xdr:row>
      <xdr:rowOff>152401</xdr:rowOff>
    </xdr:to>
    <xdr:pic>
      <xdr:nvPicPr>
        <xdr:cNvPr id="2" name="Figura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4135800" y="904876"/>
          <a:ext cx="1632045" cy="12573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8595</xdr:colOff>
      <xdr:row>1</xdr:row>
      <xdr:rowOff>19050</xdr:rowOff>
    </xdr:from>
    <xdr:to>
      <xdr:col>9</xdr:col>
      <xdr:colOff>409575</xdr:colOff>
      <xdr:row>9</xdr:row>
      <xdr:rowOff>19050</xdr:rowOff>
    </xdr:to>
    <xdr:pic>
      <xdr:nvPicPr>
        <xdr:cNvPr id="3" name="Figura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3589995" y="733425"/>
          <a:ext cx="2639355" cy="1524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1579245</xdr:colOff>
      <xdr:row>0</xdr:row>
      <xdr:rowOff>100080</xdr:rowOff>
    </xdr:from>
    <xdr:to>
      <xdr:col>6</xdr:col>
      <xdr:colOff>967830</xdr:colOff>
      <xdr:row>0</xdr:row>
      <xdr:rowOff>638175</xdr:rowOff>
    </xdr:to>
    <xdr:pic>
      <xdr:nvPicPr>
        <xdr:cNvPr id="4" name="Figura 1"/>
        <xdr:cNvPicPr/>
      </xdr:nvPicPr>
      <xdr:blipFill>
        <a:blip xmlns:r="http://schemas.openxmlformats.org/officeDocument/2006/relationships" r:embed="rId3"/>
        <a:stretch/>
      </xdr:blipFill>
      <xdr:spPr>
        <a:xfrm>
          <a:off x="1722120" y="100080"/>
          <a:ext cx="2827110" cy="53809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554400</xdr:colOff>
      <xdr:row>1</xdr:row>
      <xdr:rowOff>190501</xdr:rowOff>
    </xdr:from>
    <xdr:to>
      <xdr:col>8</xdr:col>
      <xdr:colOff>443370</xdr:colOff>
      <xdr:row>8</xdr:row>
      <xdr:rowOff>38100</xdr:rowOff>
    </xdr:to>
    <xdr:pic>
      <xdr:nvPicPr>
        <xdr:cNvPr id="2" name="Figura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4135800" y="904876"/>
          <a:ext cx="1546320" cy="114299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8595</xdr:colOff>
      <xdr:row>1</xdr:row>
      <xdr:rowOff>19050</xdr:rowOff>
    </xdr:from>
    <xdr:to>
      <xdr:col>9</xdr:col>
      <xdr:colOff>295275</xdr:colOff>
      <xdr:row>8</xdr:row>
      <xdr:rowOff>171450</xdr:rowOff>
    </xdr:to>
    <xdr:pic>
      <xdr:nvPicPr>
        <xdr:cNvPr id="3" name="Figura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3589995" y="733425"/>
          <a:ext cx="2525055" cy="144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1579245</xdr:colOff>
      <xdr:row>0</xdr:row>
      <xdr:rowOff>100081</xdr:rowOff>
    </xdr:from>
    <xdr:to>
      <xdr:col>6</xdr:col>
      <xdr:colOff>853530</xdr:colOff>
      <xdr:row>0</xdr:row>
      <xdr:rowOff>647701</xdr:rowOff>
    </xdr:to>
    <xdr:pic>
      <xdr:nvPicPr>
        <xdr:cNvPr id="4" name="Figura 1"/>
        <xdr:cNvPicPr/>
      </xdr:nvPicPr>
      <xdr:blipFill>
        <a:blip xmlns:r="http://schemas.openxmlformats.org/officeDocument/2006/relationships" r:embed="rId3"/>
        <a:stretch/>
      </xdr:blipFill>
      <xdr:spPr>
        <a:xfrm>
          <a:off x="1722120" y="100081"/>
          <a:ext cx="2712810" cy="547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49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1646280</xdr:colOff>
      <xdr:row>0</xdr:row>
      <xdr:rowOff>100080</xdr:rowOff>
    </xdr:from>
    <xdr:to>
      <xdr:col>7</xdr:col>
      <xdr:colOff>149040</xdr:colOff>
      <xdr:row>0</xdr:row>
      <xdr:rowOff>534240</xdr:rowOff>
    </xdr:to>
    <xdr:pic>
      <xdr:nvPicPr>
        <xdr:cNvPr id="50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36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554400</xdr:colOff>
      <xdr:row>0</xdr:row>
      <xdr:rowOff>715320</xdr:rowOff>
    </xdr:from>
    <xdr:to>
      <xdr:col>9</xdr:col>
      <xdr:colOff>119520</xdr:colOff>
      <xdr:row>8</xdr:row>
      <xdr:rowOff>180000</xdr:rowOff>
    </xdr:to>
    <xdr:pic>
      <xdr:nvPicPr>
        <xdr:cNvPr id="51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76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94320</xdr:colOff>
      <xdr:row>0</xdr:row>
      <xdr:rowOff>671040</xdr:rowOff>
    </xdr:from>
    <xdr:to>
      <xdr:col>9</xdr:col>
      <xdr:colOff>578745</xdr:colOff>
      <xdr:row>9</xdr:row>
      <xdr:rowOff>8280</xdr:rowOff>
    </xdr:to>
    <xdr:pic>
      <xdr:nvPicPr>
        <xdr:cNvPr id="52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40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1645920</xdr:colOff>
      <xdr:row>0</xdr:row>
      <xdr:rowOff>100080</xdr:rowOff>
    </xdr:from>
    <xdr:to>
      <xdr:col>7</xdr:col>
      <xdr:colOff>148680</xdr:colOff>
      <xdr:row>0</xdr:row>
      <xdr:rowOff>534240</xdr:rowOff>
    </xdr:to>
    <xdr:pic>
      <xdr:nvPicPr>
        <xdr:cNvPr id="53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000" y="100080"/>
          <a:ext cx="3276720" cy="4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554040</xdr:colOff>
      <xdr:row>0</xdr:row>
      <xdr:rowOff>715320</xdr:rowOff>
    </xdr:from>
    <xdr:to>
      <xdr:col>9</xdr:col>
      <xdr:colOff>119160</xdr:colOff>
      <xdr:row>8</xdr:row>
      <xdr:rowOff>180000</xdr:rowOff>
    </xdr:to>
    <xdr:pic>
      <xdr:nvPicPr>
        <xdr:cNvPr id="54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43400" y="715320"/>
          <a:ext cx="1926720" cy="141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93960</xdr:colOff>
      <xdr:row>0</xdr:row>
      <xdr:rowOff>671040</xdr:rowOff>
    </xdr:from>
    <xdr:to>
      <xdr:col>9</xdr:col>
      <xdr:colOff>578385</xdr:colOff>
      <xdr:row>9</xdr:row>
      <xdr:rowOff>8280</xdr:rowOff>
    </xdr:to>
    <xdr:pic>
      <xdr:nvPicPr>
        <xdr:cNvPr id="55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776040" y="671040"/>
          <a:ext cx="2981880" cy="15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1579245</xdr:colOff>
      <xdr:row>0</xdr:row>
      <xdr:rowOff>100080</xdr:rowOff>
    </xdr:from>
    <xdr:to>
      <xdr:col>7</xdr:col>
      <xdr:colOff>5805</xdr:colOff>
      <xdr:row>0</xdr:row>
      <xdr:rowOff>581025</xdr:rowOff>
    </xdr:to>
    <xdr:pic>
      <xdr:nvPicPr>
        <xdr:cNvPr id="6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722120" y="100080"/>
          <a:ext cx="2941410" cy="48094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582614</xdr:colOff>
      <xdr:row>1</xdr:row>
      <xdr:rowOff>57150</xdr:rowOff>
    </xdr:from>
    <xdr:to>
      <xdr:col>9</xdr:col>
      <xdr:colOff>66674</xdr:colOff>
      <xdr:row>8</xdr:row>
      <xdr:rowOff>123825</xdr:rowOff>
    </xdr:to>
    <xdr:pic>
      <xdr:nvPicPr>
        <xdr:cNvPr id="7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164014" y="771525"/>
          <a:ext cx="1722435" cy="13620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</xdr:colOff>
      <xdr:row>0</xdr:row>
      <xdr:rowOff>704850</xdr:rowOff>
    </xdr:from>
    <xdr:to>
      <xdr:col>9</xdr:col>
      <xdr:colOff>571500</xdr:colOff>
      <xdr:row>9</xdr:row>
      <xdr:rowOff>19050</xdr:rowOff>
    </xdr:to>
    <xdr:pic>
      <xdr:nvPicPr>
        <xdr:cNvPr id="8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581401" y="704850"/>
          <a:ext cx="2809874" cy="155257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1579245</xdr:colOff>
      <xdr:row>0</xdr:row>
      <xdr:rowOff>100080</xdr:rowOff>
    </xdr:from>
    <xdr:to>
      <xdr:col>6</xdr:col>
      <xdr:colOff>967830</xdr:colOff>
      <xdr:row>0</xdr:row>
      <xdr:rowOff>523875</xdr:rowOff>
    </xdr:to>
    <xdr:pic>
      <xdr:nvPicPr>
        <xdr:cNvPr id="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722120" y="100080"/>
          <a:ext cx="2827110" cy="42379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582614</xdr:colOff>
      <xdr:row>1</xdr:row>
      <xdr:rowOff>57150</xdr:rowOff>
    </xdr:from>
    <xdr:to>
      <xdr:col>8</xdr:col>
      <xdr:colOff>561974</xdr:colOff>
      <xdr:row>9</xdr:row>
      <xdr:rowOff>123825</xdr:rowOff>
    </xdr:to>
    <xdr:pic>
      <xdr:nvPicPr>
        <xdr:cNvPr id="3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164014" y="771525"/>
          <a:ext cx="1722435" cy="13620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</xdr:colOff>
      <xdr:row>0</xdr:row>
      <xdr:rowOff>581025</xdr:rowOff>
    </xdr:from>
    <xdr:to>
      <xdr:col>9</xdr:col>
      <xdr:colOff>457200</xdr:colOff>
      <xdr:row>9</xdr:row>
      <xdr:rowOff>152400</xdr:rowOff>
    </xdr:to>
    <xdr:pic>
      <xdr:nvPicPr>
        <xdr:cNvPr id="4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581401" y="581025"/>
          <a:ext cx="2695574" cy="18097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1579245</xdr:colOff>
      <xdr:row>0</xdr:row>
      <xdr:rowOff>100080</xdr:rowOff>
    </xdr:from>
    <xdr:to>
      <xdr:col>6</xdr:col>
      <xdr:colOff>853530</xdr:colOff>
      <xdr:row>0</xdr:row>
      <xdr:rowOff>542925</xdr:rowOff>
    </xdr:to>
    <xdr:pic>
      <xdr:nvPicPr>
        <xdr:cNvPr id="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722120" y="100080"/>
          <a:ext cx="2712810" cy="44284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601664</xdr:colOff>
      <xdr:row>1</xdr:row>
      <xdr:rowOff>200025</xdr:rowOff>
    </xdr:from>
    <xdr:to>
      <xdr:col>8</xdr:col>
      <xdr:colOff>495299</xdr:colOff>
      <xdr:row>8</xdr:row>
      <xdr:rowOff>190500</xdr:rowOff>
    </xdr:to>
    <xdr:pic>
      <xdr:nvPicPr>
        <xdr:cNvPr id="3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183064" y="914400"/>
          <a:ext cx="1550985" cy="12858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95250</xdr:colOff>
      <xdr:row>1</xdr:row>
      <xdr:rowOff>38100</xdr:rowOff>
    </xdr:from>
    <xdr:to>
      <xdr:col>10</xdr:col>
      <xdr:colOff>9524</xdr:colOff>
      <xdr:row>8</xdr:row>
      <xdr:rowOff>228599</xdr:rowOff>
    </xdr:to>
    <xdr:pic>
      <xdr:nvPicPr>
        <xdr:cNvPr id="4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571875" y="752475"/>
          <a:ext cx="2838449" cy="1485899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1579245</xdr:colOff>
      <xdr:row>0</xdr:row>
      <xdr:rowOff>100080</xdr:rowOff>
    </xdr:from>
    <xdr:to>
      <xdr:col>6</xdr:col>
      <xdr:colOff>853530</xdr:colOff>
      <xdr:row>0</xdr:row>
      <xdr:rowOff>485775</xdr:rowOff>
    </xdr:to>
    <xdr:pic>
      <xdr:nvPicPr>
        <xdr:cNvPr id="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722120" y="100080"/>
          <a:ext cx="2712810" cy="38569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582614</xdr:colOff>
      <xdr:row>1</xdr:row>
      <xdr:rowOff>57151</xdr:rowOff>
    </xdr:from>
    <xdr:to>
      <xdr:col>8</xdr:col>
      <xdr:colOff>476249</xdr:colOff>
      <xdr:row>8</xdr:row>
      <xdr:rowOff>38101</xdr:rowOff>
    </xdr:to>
    <xdr:pic>
      <xdr:nvPicPr>
        <xdr:cNvPr id="3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164014" y="771526"/>
          <a:ext cx="1550985" cy="12763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581025</xdr:rowOff>
    </xdr:from>
    <xdr:to>
      <xdr:col>9</xdr:col>
      <xdr:colOff>581024</xdr:colOff>
      <xdr:row>9</xdr:row>
      <xdr:rowOff>95250</xdr:rowOff>
    </xdr:to>
    <xdr:pic>
      <xdr:nvPicPr>
        <xdr:cNvPr id="4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581400" y="581025"/>
          <a:ext cx="2819399" cy="1752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1579245</xdr:colOff>
      <xdr:row>0</xdr:row>
      <xdr:rowOff>100080</xdr:rowOff>
    </xdr:from>
    <xdr:to>
      <xdr:col>6</xdr:col>
      <xdr:colOff>739230</xdr:colOff>
      <xdr:row>0</xdr:row>
      <xdr:rowOff>542925</xdr:rowOff>
    </xdr:to>
    <xdr:pic>
      <xdr:nvPicPr>
        <xdr:cNvPr id="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722120" y="100080"/>
          <a:ext cx="2598510" cy="44284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742950</xdr:colOff>
      <xdr:row>2</xdr:row>
      <xdr:rowOff>9525</xdr:rowOff>
    </xdr:from>
    <xdr:to>
      <xdr:col>9</xdr:col>
      <xdr:colOff>104775</xdr:colOff>
      <xdr:row>8</xdr:row>
      <xdr:rowOff>57150</xdr:rowOff>
    </xdr:to>
    <xdr:pic>
      <xdr:nvPicPr>
        <xdr:cNvPr id="3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24350" y="962025"/>
          <a:ext cx="1600200" cy="11049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704850</xdr:rowOff>
    </xdr:from>
    <xdr:to>
      <xdr:col>9</xdr:col>
      <xdr:colOff>581024</xdr:colOff>
      <xdr:row>8</xdr:row>
      <xdr:rowOff>219075</xdr:rowOff>
    </xdr:to>
    <xdr:pic>
      <xdr:nvPicPr>
        <xdr:cNvPr id="4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581400" y="704850"/>
          <a:ext cx="2819399" cy="1524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1579245</xdr:colOff>
      <xdr:row>0</xdr:row>
      <xdr:rowOff>100080</xdr:rowOff>
    </xdr:from>
    <xdr:to>
      <xdr:col>6</xdr:col>
      <xdr:colOff>624930</xdr:colOff>
      <xdr:row>0</xdr:row>
      <xdr:rowOff>638175</xdr:rowOff>
    </xdr:to>
    <xdr:pic>
      <xdr:nvPicPr>
        <xdr:cNvPr id="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722120" y="100080"/>
          <a:ext cx="2484210" cy="53809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742950</xdr:colOff>
      <xdr:row>2</xdr:row>
      <xdr:rowOff>9525</xdr:rowOff>
    </xdr:from>
    <xdr:to>
      <xdr:col>9</xdr:col>
      <xdr:colOff>47625</xdr:colOff>
      <xdr:row>8</xdr:row>
      <xdr:rowOff>142875</xdr:rowOff>
    </xdr:to>
    <xdr:pic>
      <xdr:nvPicPr>
        <xdr:cNvPr id="3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24350" y="962025"/>
          <a:ext cx="1600200" cy="11049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704850</xdr:rowOff>
    </xdr:from>
    <xdr:to>
      <xdr:col>9</xdr:col>
      <xdr:colOff>466724</xdr:colOff>
      <xdr:row>9</xdr:row>
      <xdr:rowOff>38100</xdr:rowOff>
    </xdr:to>
    <xdr:pic>
      <xdr:nvPicPr>
        <xdr:cNvPr id="4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581400" y="704850"/>
          <a:ext cx="2705099" cy="157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1579245</xdr:colOff>
      <xdr:row>0</xdr:row>
      <xdr:rowOff>100081</xdr:rowOff>
    </xdr:from>
    <xdr:to>
      <xdr:col>6</xdr:col>
      <xdr:colOff>624930</xdr:colOff>
      <xdr:row>0</xdr:row>
      <xdr:rowOff>552451</xdr:rowOff>
    </xdr:to>
    <xdr:pic>
      <xdr:nvPicPr>
        <xdr:cNvPr id="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722120" y="100081"/>
          <a:ext cx="2484210" cy="45237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742950</xdr:colOff>
      <xdr:row>2</xdr:row>
      <xdr:rowOff>9525</xdr:rowOff>
    </xdr:from>
    <xdr:to>
      <xdr:col>9</xdr:col>
      <xdr:colOff>47625</xdr:colOff>
      <xdr:row>8</xdr:row>
      <xdr:rowOff>142875</xdr:rowOff>
    </xdr:to>
    <xdr:pic>
      <xdr:nvPicPr>
        <xdr:cNvPr id="3" name="Figura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4324350" y="962025"/>
          <a:ext cx="1600200" cy="11049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704850</xdr:rowOff>
    </xdr:from>
    <xdr:to>
      <xdr:col>9</xdr:col>
      <xdr:colOff>466724</xdr:colOff>
      <xdr:row>9</xdr:row>
      <xdr:rowOff>76200</xdr:rowOff>
    </xdr:to>
    <xdr:pic>
      <xdr:nvPicPr>
        <xdr:cNvPr id="4" name="Figura 4"/>
        <xdr:cNvPicPr/>
      </xdr:nvPicPr>
      <xdr:blipFill>
        <a:blip xmlns:r="http://schemas.openxmlformats.org/officeDocument/2006/relationships" r:embed="rId3"/>
        <a:stretch/>
      </xdr:blipFill>
      <xdr:spPr>
        <a:xfrm>
          <a:off x="3581400" y="704850"/>
          <a:ext cx="2705099" cy="160972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="80" zoomScaleNormal="80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0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238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106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25228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252.28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126.14</v>
      </c>
      <c r="D13" s="34"/>
      <c r="E13" s="34"/>
      <c r="G13" s="15" t="s">
        <v>13</v>
      </c>
      <c r="H13" s="34">
        <f>(0.5%*C7)</f>
        <v>126.14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252.28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126.14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126.14</v>
      </c>
      <c r="D16" s="34"/>
      <c r="E16" s="34"/>
      <c r="G16" s="15" t="s">
        <v>17</v>
      </c>
      <c r="H16" s="34">
        <f>(0.1%*C7)</f>
        <v>25.228000000000002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75.683999999999997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G18" s="16"/>
      <c r="H18" s="13"/>
      <c r="I18" s="13"/>
      <c r="J18" s="13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25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26</v>
      </c>
      <c r="C21" s="34">
        <f>(2%*C7)</f>
        <v>504.56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20"/>
      <c r="C22" s="36"/>
      <c r="D22" s="36"/>
      <c r="E22" s="36"/>
      <c r="G22" s="18"/>
      <c r="H22" s="18"/>
      <c r="I22" s="18"/>
      <c r="J22" s="18"/>
      <c r="K22" s="7"/>
    </row>
    <row r="23" spans="1:11" ht="14.25" x14ac:dyDescent="0.2">
      <c r="A23" s="6"/>
      <c r="B23" s="16"/>
      <c r="C23" s="13"/>
      <c r="D23" s="13"/>
      <c r="E23" s="13"/>
      <c r="F23" s="11"/>
      <c r="K23" s="7"/>
    </row>
    <row r="24" spans="1:11" ht="14.25" x14ac:dyDescent="0.2">
      <c r="A24" s="6"/>
      <c r="B24" s="37"/>
      <c r="C24" s="37"/>
      <c r="D24" s="37"/>
      <c r="E24" s="37"/>
      <c r="K24" s="7"/>
    </row>
    <row r="25" spans="1:11" ht="14.25" x14ac:dyDescent="0.2">
      <c r="A25" s="6"/>
      <c r="B25" s="20"/>
      <c r="C25" s="36"/>
      <c r="D25" s="36"/>
      <c r="E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4">
    <mergeCell ref="C27:E27"/>
    <mergeCell ref="G19:J19"/>
    <mergeCell ref="B24:E24"/>
    <mergeCell ref="H20:J20"/>
    <mergeCell ref="C25:E25"/>
    <mergeCell ref="H21:J21"/>
    <mergeCell ref="B20:E20"/>
    <mergeCell ref="C21:E21"/>
    <mergeCell ref="C22:E22"/>
    <mergeCell ref="C16:E16"/>
    <mergeCell ref="H16:J16"/>
    <mergeCell ref="C17:E17"/>
    <mergeCell ref="C18:E18"/>
    <mergeCell ref="C13:E13"/>
    <mergeCell ref="H13:J13"/>
    <mergeCell ref="H14:J14"/>
    <mergeCell ref="B15:E15"/>
    <mergeCell ref="H15:J15"/>
    <mergeCell ref="B2:E2"/>
    <mergeCell ref="B9:E9"/>
    <mergeCell ref="B11:E11"/>
    <mergeCell ref="G11:J11"/>
    <mergeCell ref="C12:E12"/>
    <mergeCell ref="H12:J12"/>
  </mergeCells>
  <pageMargins left="0.78749999999999998" right="0.78749999999999998" top="1.05277777777778" bottom="1.05277777777778" header="0.78749999999999998" footer="0.78749999999999998"/>
  <pageSetup paperSize="9" scale="85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="70" zoomScaleNormal="70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0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326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225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73350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733.5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366.75</v>
      </c>
      <c r="D13" s="34"/>
      <c r="E13" s="34"/>
      <c r="G13" s="15" t="s">
        <v>13</v>
      </c>
      <c r="H13" s="34">
        <f>(0.5%*C7)</f>
        <v>366.75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733.5</v>
      </c>
      <c r="I14" s="34"/>
      <c r="J14" s="34"/>
      <c r="K14" s="7"/>
    </row>
    <row r="15" spans="1:12" ht="14.25" x14ac:dyDescent="0.2">
      <c r="A15" s="6"/>
      <c r="B15" s="33" t="s">
        <v>25</v>
      </c>
      <c r="C15" s="33"/>
      <c r="D15" s="33"/>
      <c r="E15" s="33"/>
      <c r="G15" s="15" t="s">
        <v>16</v>
      </c>
      <c r="H15" s="34">
        <f>(0.5%*C7)</f>
        <v>366.75</v>
      </c>
      <c r="I15" s="34"/>
      <c r="J15" s="34"/>
      <c r="K15" s="7"/>
    </row>
    <row r="16" spans="1:12" ht="14.25" x14ac:dyDescent="0.2">
      <c r="A16" s="6"/>
      <c r="B16" s="15" t="s">
        <v>26</v>
      </c>
      <c r="C16" s="34">
        <f>(2%*C7)</f>
        <v>1467</v>
      </c>
      <c r="D16" s="34"/>
      <c r="E16" s="34"/>
      <c r="G16" s="15" t="s">
        <v>17</v>
      </c>
      <c r="H16" s="34">
        <f>(0.1%*C7)</f>
        <v>73.350000000000009</v>
      </c>
      <c r="I16" s="34"/>
      <c r="J16" s="34"/>
      <c r="K16" s="7"/>
    </row>
    <row r="17" spans="1:11" ht="14.25" x14ac:dyDescent="0.2">
      <c r="A17" s="6"/>
      <c r="B17" s="20"/>
      <c r="C17" s="36"/>
      <c r="D17" s="36"/>
      <c r="E17" s="36"/>
      <c r="K17" s="7"/>
    </row>
    <row r="18" spans="1:11" ht="14.25" x14ac:dyDescent="0.2">
      <c r="A18" s="6"/>
      <c r="B18" s="20"/>
      <c r="C18" s="36"/>
      <c r="D18" s="36"/>
      <c r="E18" s="36"/>
      <c r="G18" s="37"/>
      <c r="H18" s="37"/>
      <c r="I18" s="37"/>
      <c r="J18" s="37"/>
      <c r="K18" s="7"/>
    </row>
    <row r="19" spans="1:11" ht="14.25" x14ac:dyDescent="0.2">
      <c r="A19" s="6"/>
      <c r="B19" s="16"/>
      <c r="C19" s="13"/>
      <c r="D19" s="13"/>
      <c r="E19" s="13"/>
      <c r="F19" s="11"/>
      <c r="G19" s="20"/>
      <c r="H19" s="36"/>
      <c r="I19" s="36"/>
      <c r="J19" s="36"/>
      <c r="K19" s="7"/>
    </row>
    <row r="20" spans="1:11" ht="14.25" x14ac:dyDescent="0.2">
      <c r="A20" s="6"/>
      <c r="B20" s="37"/>
      <c r="C20" s="37"/>
      <c r="D20" s="37"/>
      <c r="E20" s="37"/>
      <c r="G20" s="20"/>
      <c r="H20" s="36"/>
      <c r="I20" s="36"/>
      <c r="J20" s="36"/>
      <c r="K20" s="7"/>
    </row>
    <row r="21" spans="1:11" ht="14.25" x14ac:dyDescent="0.2">
      <c r="A21" s="6"/>
      <c r="B21" s="20"/>
      <c r="C21" s="36"/>
      <c r="D21" s="36"/>
      <c r="E21" s="36"/>
      <c r="G21" s="20"/>
      <c r="H21" s="36"/>
      <c r="I21" s="36"/>
      <c r="J21" s="36"/>
      <c r="K21" s="7"/>
    </row>
    <row r="22" spans="1:11" ht="14.25" x14ac:dyDescent="0.2">
      <c r="A22" s="6"/>
      <c r="B22" s="20"/>
      <c r="C22" s="36"/>
      <c r="D22" s="36"/>
      <c r="E22" s="36"/>
      <c r="G22" s="16"/>
      <c r="H22" s="13"/>
      <c r="I22" s="13"/>
      <c r="J22" s="13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7"/>
      <c r="C24" s="37"/>
      <c r="D24" s="37"/>
      <c r="E24" s="37"/>
      <c r="G24" s="20"/>
      <c r="H24" s="36"/>
      <c r="I24" s="36"/>
      <c r="J24" s="36"/>
      <c r="K24" s="7"/>
    </row>
    <row r="25" spans="1:11" ht="14.25" x14ac:dyDescent="0.2">
      <c r="A25" s="6"/>
      <c r="B25" s="20"/>
      <c r="C25" s="36"/>
      <c r="D25" s="36"/>
      <c r="E25" s="36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8">
    <mergeCell ref="C25:E25"/>
    <mergeCell ref="H25:J25"/>
    <mergeCell ref="C27:E27"/>
    <mergeCell ref="C21:E21"/>
    <mergeCell ref="H21:J21"/>
    <mergeCell ref="C22:E22"/>
    <mergeCell ref="G23:J23"/>
    <mergeCell ref="B24:E24"/>
    <mergeCell ref="H24:J24"/>
    <mergeCell ref="C17:E17"/>
    <mergeCell ref="C18:E18"/>
    <mergeCell ref="G18:J18"/>
    <mergeCell ref="H19:J19"/>
    <mergeCell ref="B20:E20"/>
    <mergeCell ref="H20:J20"/>
    <mergeCell ref="C16:E16"/>
    <mergeCell ref="H16:J16"/>
    <mergeCell ref="B2:E2"/>
    <mergeCell ref="B9:E9"/>
    <mergeCell ref="B11:E11"/>
    <mergeCell ref="G11:J11"/>
    <mergeCell ref="C12:E12"/>
    <mergeCell ref="H12:J12"/>
    <mergeCell ref="C13:E13"/>
    <mergeCell ref="H13:J13"/>
    <mergeCell ref="H14:J14"/>
    <mergeCell ref="B15:E15"/>
    <mergeCell ref="H15:J15"/>
  </mergeCells>
  <pageMargins left="0.511811024" right="0.511811024" top="0.78740157499999996" bottom="0.78740157499999996" header="0.31496062000000002" footer="0.31496062000000002"/>
  <pageSetup paperSize="9" scale="9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Normal="100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27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489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295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144255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1442.55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721.27499999999998</v>
      </c>
      <c r="D13" s="34"/>
      <c r="E13" s="34"/>
      <c r="G13" s="15" t="s">
        <v>13</v>
      </c>
      <c r="H13" s="34">
        <f>(0.5%*C7)</f>
        <v>721.27499999999998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1442.55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721.27499999999998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721.27499999999998</v>
      </c>
      <c r="D16" s="34"/>
      <c r="E16" s="34"/>
      <c r="G16" s="15" t="s">
        <v>17</v>
      </c>
      <c r="H16" s="34">
        <f>(0.1%*C7)</f>
        <v>144.255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432.76499999999999</v>
      </c>
      <c r="D17" s="34"/>
      <c r="E17" s="34"/>
      <c r="K17" s="7"/>
    </row>
    <row r="18" spans="1:11" ht="14.25" x14ac:dyDescent="0.2">
      <c r="A18" s="6"/>
      <c r="B18" s="15" t="s">
        <v>19</v>
      </c>
      <c r="C18" s="34">
        <f>(15%*C7)</f>
        <v>21638.25</v>
      </c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16"/>
      <c r="C20" s="13"/>
      <c r="D20" s="13"/>
      <c r="E20" s="13"/>
      <c r="G20" s="37"/>
      <c r="H20" s="37"/>
      <c r="I20" s="37"/>
      <c r="J20" s="37"/>
      <c r="K20" s="7"/>
    </row>
    <row r="21" spans="1:11" ht="14.25" x14ac:dyDescent="0.2">
      <c r="A21" s="6"/>
      <c r="B21" s="33" t="s">
        <v>25</v>
      </c>
      <c r="C21" s="33"/>
      <c r="D21" s="33"/>
      <c r="E21" s="33"/>
      <c r="G21" s="20"/>
      <c r="H21" s="36"/>
      <c r="I21" s="36"/>
      <c r="J21" s="36"/>
      <c r="K21" s="7"/>
    </row>
    <row r="22" spans="1:11" ht="14.25" x14ac:dyDescent="0.2">
      <c r="A22" s="6"/>
      <c r="B22" s="15" t="s">
        <v>26</v>
      </c>
      <c r="C22" s="34">
        <f>(2%*C7)</f>
        <v>2885.1</v>
      </c>
      <c r="D22" s="34"/>
      <c r="E22" s="34"/>
      <c r="G22" s="20"/>
      <c r="H22" s="36"/>
      <c r="I22" s="36"/>
      <c r="J22" s="36"/>
      <c r="K22" s="7"/>
    </row>
    <row r="23" spans="1:11" ht="14.25" x14ac:dyDescent="0.2">
      <c r="A23" s="6"/>
      <c r="B23" s="18"/>
      <c r="C23" s="18"/>
      <c r="D23" s="18"/>
      <c r="E23" s="18"/>
      <c r="F23" s="11"/>
      <c r="G23" s="18"/>
      <c r="H23" s="18"/>
      <c r="I23" s="18"/>
      <c r="J23" s="18"/>
      <c r="K23" s="19"/>
    </row>
    <row r="24" spans="1:11" ht="14.25" x14ac:dyDescent="0.2">
      <c r="A24" s="6"/>
      <c r="B24" s="16"/>
      <c r="C24" s="36"/>
      <c r="D24" s="36"/>
      <c r="E24" s="36"/>
    </row>
    <row r="25" spans="1:11" x14ac:dyDescent="0.2">
      <c r="A25" s="6"/>
    </row>
    <row r="26" spans="1:11" ht="14.25" x14ac:dyDescent="0.2">
      <c r="A26" s="17"/>
      <c r="F26" s="18"/>
    </row>
    <row r="27" spans="1:11" x14ac:dyDescent="0.2">
      <c r="A27" s="11"/>
    </row>
  </sheetData>
  <mergeCells count="22">
    <mergeCell ref="C24:E24"/>
    <mergeCell ref="G20:J20"/>
    <mergeCell ref="B21:E21"/>
    <mergeCell ref="H21:J21"/>
    <mergeCell ref="C22:E22"/>
    <mergeCell ref="H22:J22"/>
    <mergeCell ref="C16:E16"/>
    <mergeCell ref="H16:J16"/>
    <mergeCell ref="C17:E17"/>
    <mergeCell ref="C18:E18"/>
    <mergeCell ref="G19:J19"/>
    <mergeCell ref="C13:E13"/>
    <mergeCell ref="H13:J13"/>
    <mergeCell ref="H14:J14"/>
    <mergeCell ref="B15:E15"/>
    <mergeCell ref="H15:J15"/>
    <mergeCell ref="B2:E2"/>
    <mergeCell ref="B9:E9"/>
    <mergeCell ref="B11:E11"/>
    <mergeCell ref="G11:J11"/>
    <mergeCell ref="C12:E12"/>
    <mergeCell ref="H12:J12"/>
  </mergeCells>
  <pageMargins left="0.25" right="0.25" top="0.75" bottom="0.75" header="0.3" footer="0.3"/>
  <pageSetup paperSize="9" scale="85" orientation="portrait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Normal="100" workbookViewId="0">
      <selection activeCell="C18" sqref="C18:E18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28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355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150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53250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532.5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266.25</v>
      </c>
      <c r="D13" s="34"/>
      <c r="E13" s="34"/>
      <c r="G13" s="15" t="s">
        <v>13</v>
      </c>
      <c r="H13" s="34">
        <f>(0.5%*C7)</f>
        <v>266.25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532.5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266.25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266.25</v>
      </c>
      <c r="D16" s="34"/>
      <c r="E16" s="34"/>
      <c r="G16" s="15" t="s">
        <v>17</v>
      </c>
      <c r="H16" s="34">
        <f>(0.1%*C7)</f>
        <v>53.25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159.75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21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23</v>
      </c>
      <c r="C21" s="34">
        <f>(1%*C7)</f>
        <v>532.5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/>
      <c r="C22" s="34"/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(2%*C7)</f>
        <v>1065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G23:J23"/>
    <mergeCell ref="B24:E24"/>
    <mergeCell ref="H24:J24"/>
    <mergeCell ref="C25:E25"/>
    <mergeCell ref="H25:J25"/>
    <mergeCell ref="B20:E20"/>
    <mergeCell ref="H20:J20"/>
    <mergeCell ref="C21:E21"/>
    <mergeCell ref="H21:J21"/>
    <mergeCell ref="C22:E22"/>
    <mergeCell ref="C16:E16"/>
    <mergeCell ref="H16:J16"/>
    <mergeCell ref="C17:E17"/>
    <mergeCell ref="C18:E18"/>
    <mergeCell ref="G19:J19"/>
    <mergeCell ref="C13:E13"/>
    <mergeCell ref="H13:J13"/>
    <mergeCell ref="H14:J14"/>
    <mergeCell ref="B15:E15"/>
    <mergeCell ref="H15:J15"/>
    <mergeCell ref="B2:E2"/>
    <mergeCell ref="B9:E9"/>
    <mergeCell ref="B11:E11"/>
    <mergeCell ref="G11:J11"/>
    <mergeCell ref="C12:E12"/>
    <mergeCell ref="H12:J12"/>
  </mergeCells>
  <pageMargins left="0.78749999999999998" right="0.78749999999999998" top="1.05277777777778" bottom="1.05277777777778" header="0.78749999999999998" footer="0.78749999999999998"/>
  <pageSetup paperSize="9" scale="80" orientation="portrait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workbookViewId="0">
      <selection activeCell="C5" sqref="C5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28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358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310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110980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21"/>
      <c r="C10" s="21"/>
      <c r="D10" s="21"/>
      <c r="E10" s="21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1109.8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554.9</v>
      </c>
      <c r="D13" s="34"/>
      <c r="E13" s="34"/>
      <c r="G13" s="15" t="s">
        <v>13</v>
      </c>
      <c r="H13" s="34">
        <f>(0.5%*C7)</f>
        <v>554.9</v>
      </c>
      <c r="I13" s="34"/>
      <c r="J13" s="34"/>
      <c r="K13" s="7"/>
    </row>
    <row r="14" spans="1:12" ht="14.25" x14ac:dyDescent="0.2">
      <c r="A14" s="6"/>
      <c r="B14" s="16"/>
      <c r="C14" s="21"/>
      <c r="D14" s="21"/>
      <c r="E14" s="21"/>
      <c r="G14" s="15" t="s">
        <v>14</v>
      </c>
      <c r="H14" s="34">
        <f>(1%*C7)</f>
        <v>1109.8</v>
      </c>
      <c r="I14" s="34"/>
      <c r="J14" s="34"/>
      <c r="K14" s="7"/>
    </row>
    <row r="15" spans="1:12" ht="14.25" x14ac:dyDescent="0.2">
      <c r="A15" s="6"/>
      <c r="B15" s="38" t="s">
        <v>21</v>
      </c>
      <c r="C15" s="39"/>
      <c r="D15" s="39"/>
      <c r="E15" s="40"/>
      <c r="G15" s="15" t="s">
        <v>16</v>
      </c>
      <c r="H15" s="34">
        <f>(0.5%*C7)</f>
        <v>554.9</v>
      </c>
      <c r="I15" s="34"/>
      <c r="J15" s="34"/>
      <c r="K15" s="7"/>
    </row>
    <row r="16" spans="1:12" ht="14.25" x14ac:dyDescent="0.2">
      <c r="A16" s="6"/>
      <c r="B16" s="15" t="s">
        <v>23</v>
      </c>
      <c r="C16" s="34">
        <f>(1%*C7)</f>
        <v>1109.8</v>
      </c>
      <c r="D16" s="34"/>
      <c r="E16" s="34"/>
      <c r="G16" s="15" t="s">
        <v>17</v>
      </c>
      <c r="H16" s="34">
        <f>(0.1%*C7)</f>
        <v>110.98</v>
      </c>
      <c r="I16" s="34"/>
      <c r="J16" s="34"/>
      <c r="K16" s="7"/>
    </row>
    <row r="17" spans="1:11" ht="14.25" x14ac:dyDescent="0.2">
      <c r="A17" s="6"/>
      <c r="B17" s="15"/>
      <c r="C17" s="34"/>
      <c r="D17" s="34"/>
      <c r="E17" s="34"/>
      <c r="K17" s="7"/>
    </row>
    <row r="18" spans="1:11" ht="14.25" x14ac:dyDescent="0.2">
      <c r="A18" s="6"/>
      <c r="B18" s="20"/>
      <c r="C18" s="36"/>
      <c r="D18" s="36"/>
      <c r="E18" s="36"/>
      <c r="K18" s="7"/>
    </row>
    <row r="19" spans="1:11" ht="14.25" x14ac:dyDescent="0.2">
      <c r="A19" s="6"/>
      <c r="B19" s="33" t="s">
        <v>25</v>
      </c>
      <c r="C19" s="33"/>
      <c r="D19" s="33"/>
      <c r="E19" s="33"/>
      <c r="F19" s="11"/>
      <c r="G19" s="37"/>
      <c r="H19" s="37"/>
      <c r="I19" s="37"/>
      <c r="J19" s="37"/>
      <c r="K19" s="7"/>
    </row>
    <row r="20" spans="1:11" ht="14.25" x14ac:dyDescent="0.2">
      <c r="A20" s="6"/>
      <c r="B20" s="15" t="s">
        <v>26</v>
      </c>
      <c r="C20" s="34">
        <f>(2%*C7)</f>
        <v>2219.6</v>
      </c>
      <c r="D20" s="34"/>
      <c r="E20" s="34"/>
      <c r="G20" s="20"/>
      <c r="H20" s="36"/>
      <c r="I20" s="36"/>
      <c r="J20" s="36"/>
      <c r="K20" s="7"/>
    </row>
    <row r="21" spans="1:11" ht="14.25" x14ac:dyDescent="0.2">
      <c r="A21" s="6"/>
      <c r="B21" s="20"/>
      <c r="C21" s="36"/>
      <c r="D21" s="36"/>
      <c r="E21" s="36"/>
      <c r="G21" s="20"/>
      <c r="H21" s="36"/>
      <c r="I21" s="36"/>
      <c r="J21" s="36"/>
      <c r="K21" s="7"/>
    </row>
    <row r="22" spans="1:11" ht="14.25" x14ac:dyDescent="0.2">
      <c r="A22" s="6"/>
      <c r="B22" s="20"/>
      <c r="C22" s="36"/>
      <c r="D22" s="36"/>
      <c r="E22" s="36"/>
      <c r="G22" s="16"/>
      <c r="H22" s="21"/>
      <c r="I22" s="21"/>
      <c r="J22" s="21"/>
      <c r="K22" s="7"/>
    </row>
    <row r="23" spans="1:11" ht="14.25" x14ac:dyDescent="0.2">
      <c r="A23" s="6"/>
      <c r="B23" s="16"/>
      <c r="C23" s="21"/>
      <c r="D23" s="21"/>
      <c r="E23" s="21"/>
      <c r="F23" s="11"/>
      <c r="G23" s="37"/>
      <c r="H23" s="37"/>
      <c r="I23" s="37"/>
      <c r="J23" s="37"/>
      <c r="K23" s="7"/>
    </row>
    <row r="24" spans="1:11" ht="14.25" x14ac:dyDescent="0.2">
      <c r="A24" s="6"/>
      <c r="B24" s="37"/>
      <c r="C24" s="37"/>
      <c r="D24" s="37"/>
      <c r="E24" s="37"/>
      <c r="G24" s="20"/>
      <c r="H24" s="36"/>
      <c r="I24" s="36"/>
      <c r="J24" s="36"/>
      <c r="K24" s="7"/>
    </row>
    <row r="25" spans="1:11" ht="14.25" x14ac:dyDescent="0.2">
      <c r="A25" s="6"/>
      <c r="B25" s="20"/>
      <c r="C25" s="36"/>
      <c r="D25" s="36"/>
      <c r="E25" s="36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8">
    <mergeCell ref="C27:E27"/>
    <mergeCell ref="B19:E19"/>
    <mergeCell ref="C20:E20"/>
    <mergeCell ref="C22:E22"/>
    <mergeCell ref="G23:J23"/>
    <mergeCell ref="B24:E24"/>
    <mergeCell ref="H24:J24"/>
    <mergeCell ref="C25:E25"/>
    <mergeCell ref="H25:J25"/>
    <mergeCell ref="C17:E17"/>
    <mergeCell ref="C18:E18"/>
    <mergeCell ref="G19:J19"/>
    <mergeCell ref="H20:J20"/>
    <mergeCell ref="C21:E21"/>
    <mergeCell ref="H21:J21"/>
    <mergeCell ref="C16:E16"/>
    <mergeCell ref="H16:J16"/>
    <mergeCell ref="B2:E2"/>
    <mergeCell ref="B9:E9"/>
    <mergeCell ref="B11:E11"/>
    <mergeCell ref="G11:J11"/>
    <mergeCell ref="C12:E12"/>
    <mergeCell ref="H12:J12"/>
    <mergeCell ref="C13:E13"/>
    <mergeCell ref="H13:J13"/>
    <mergeCell ref="H14:J14"/>
    <mergeCell ref="B15:E15"/>
    <mergeCell ref="H15:J15"/>
  </mergeCells>
  <pageMargins left="0.511811024" right="0.511811024" top="0.78740157499999996" bottom="0.78740157499999996" header="0.31496062000000002" footer="0.31496062000000002"/>
  <pageSetup paperSize="9" scale="85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Normal="100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31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338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290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98020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980.2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490.1</v>
      </c>
      <c r="D13" s="34"/>
      <c r="E13" s="34"/>
      <c r="G13" s="15" t="s">
        <v>13</v>
      </c>
      <c r="H13" s="34">
        <f>(0.5%*C7)</f>
        <v>490.1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980.2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490.1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490.1</v>
      </c>
      <c r="D16" s="34"/>
      <c r="E16" s="34"/>
      <c r="G16" s="15" t="s">
        <v>17</v>
      </c>
      <c r="H16" s="34">
        <f>(0.1%*C7)</f>
        <v>98.02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294.06</v>
      </c>
      <c r="D17" s="34"/>
      <c r="E17" s="34"/>
      <c r="K17" s="7"/>
    </row>
    <row r="18" spans="1:11" ht="14.25" x14ac:dyDescent="0.2">
      <c r="A18" s="6"/>
      <c r="B18" s="15" t="s">
        <v>19</v>
      </c>
      <c r="C18" s="34">
        <f>(8%*C7)</f>
        <v>7841.6</v>
      </c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21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23</v>
      </c>
      <c r="C21" s="34">
        <f>(1%*C7)</f>
        <v>980.2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/>
      <c r="C22" s="34"/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(2%*C7)</f>
        <v>1960.4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G23:J23"/>
    <mergeCell ref="B24:E24"/>
    <mergeCell ref="H24:J24"/>
    <mergeCell ref="C25:E25"/>
    <mergeCell ref="H25:J25"/>
    <mergeCell ref="B20:E20"/>
    <mergeCell ref="H20:J20"/>
    <mergeCell ref="C21:E21"/>
    <mergeCell ref="H21:J21"/>
    <mergeCell ref="C22:E22"/>
    <mergeCell ref="C16:E16"/>
    <mergeCell ref="H16:J16"/>
    <mergeCell ref="C17:E17"/>
    <mergeCell ref="C18:E18"/>
    <mergeCell ref="G19:J19"/>
    <mergeCell ref="C13:E13"/>
    <mergeCell ref="H13:J13"/>
    <mergeCell ref="H14:J14"/>
    <mergeCell ref="B15:E15"/>
    <mergeCell ref="H15:J15"/>
    <mergeCell ref="B2:E2"/>
    <mergeCell ref="B9:E9"/>
    <mergeCell ref="B11:E11"/>
    <mergeCell ref="G11:J11"/>
    <mergeCell ref="C12:E12"/>
    <mergeCell ref="H12:J12"/>
  </mergeCells>
  <pageMargins left="0.25" right="0.25" top="0.75" bottom="0.75" header="0.3" footer="0.3"/>
  <pageSetup paperSize="9" scale="85" orientation="portrait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topLeftCell="A4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36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238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120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28560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285.60000000000002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142.80000000000001</v>
      </c>
      <c r="D13" s="34"/>
      <c r="E13" s="34"/>
      <c r="G13" s="15" t="s">
        <v>13</v>
      </c>
      <c r="H13" s="34">
        <f>(0.5%*C7)</f>
        <v>142.80000000000001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285.60000000000002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142.80000000000001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142.80000000000001</v>
      </c>
      <c r="D16" s="34"/>
      <c r="E16" s="34"/>
      <c r="G16" s="15" t="s">
        <v>17</v>
      </c>
      <c r="H16" s="34">
        <f>(0.1%*C7)</f>
        <v>28.560000000000002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85.68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21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23</v>
      </c>
      <c r="C21" s="34">
        <f>2%*C7</f>
        <v>571.20000000000005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/>
      <c r="C22" s="34"/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(2%*C7)</f>
        <v>571.20000000000005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C22:E22"/>
    <mergeCell ref="G23:J23"/>
    <mergeCell ref="B24:E24"/>
    <mergeCell ref="H24:J24"/>
    <mergeCell ref="C25:E25"/>
    <mergeCell ref="H25:J25"/>
    <mergeCell ref="C21:E21"/>
    <mergeCell ref="H21:J21"/>
    <mergeCell ref="C13:E13"/>
    <mergeCell ref="H13:J13"/>
    <mergeCell ref="H14:J14"/>
    <mergeCell ref="B15:E15"/>
    <mergeCell ref="H15:J15"/>
    <mergeCell ref="C16:E16"/>
    <mergeCell ref="H16:J16"/>
    <mergeCell ref="C17:E17"/>
    <mergeCell ref="C18:E18"/>
    <mergeCell ref="G19:J19"/>
    <mergeCell ref="B20:E20"/>
    <mergeCell ref="H20:J20"/>
    <mergeCell ref="B2:E2"/>
    <mergeCell ref="B9:E9"/>
    <mergeCell ref="B11:E11"/>
    <mergeCell ref="G11:J11"/>
    <mergeCell ref="C12:E12"/>
    <mergeCell ref="H12:J12"/>
  </mergeCells>
  <pageMargins left="0.25" right="0.25" top="0.75" bottom="0.75" header="0.3" footer="0.3"/>
  <pageSetup paperSize="9" scale="85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tabSelected="1" zoomScaleNormal="100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29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538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265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142570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1425.7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712.85</v>
      </c>
      <c r="D13" s="34"/>
      <c r="E13" s="34"/>
      <c r="G13" s="15" t="s">
        <v>13</v>
      </c>
      <c r="H13" s="34">
        <f>(0.5%*C7)</f>
        <v>712.85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1425.7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712.85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712.85</v>
      </c>
      <c r="D16" s="34"/>
      <c r="E16" s="34"/>
      <c r="G16" s="15" t="s">
        <v>17</v>
      </c>
      <c r="H16" s="34">
        <f>(0.1%*C7)</f>
        <v>142.57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427.71000000000004</v>
      </c>
      <c r="D17" s="34"/>
      <c r="E17" s="34"/>
      <c r="K17" s="7"/>
    </row>
    <row r="18" spans="1:11" ht="14.25" x14ac:dyDescent="0.2">
      <c r="A18" s="6"/>
      <c r="B18" s="15" t="s">
        <v>34</v>
      </c>
      <c r="C18" s="34">
        <f>8%*C7</f>
        <v>11405.6</v>
      </c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21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23</v>
      </c>
      <c r="C21" s="34">
        <f>2%*C7</f>
        <v>2851.4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/>
      <c r="C22" s="34"/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(2%*C7)</f>
        <v>2851.4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G23:J23"/>
    <mergeCell ref="B24:E24"/>
    <mergeCell ref="H24:J24"/>
    <mergeCell ref="C25:E25"/>
    <mergeCell ref="H25:J25"/>
    <mergeCell ref="B20:E20"/>
    <mergeCell ref="H20:J20"/>
    <mergeCell ref="C21:E21"/>
    <mergeCell ref="H21:J21"/>
    <mergeCell ref="C22:E22"/>
    <mergeCell ref="C16:E16"/>
    <mergeCell ref="H16:J16"/>
    <mergeCell ref="C17:E17"/>
    <mergeCell ref="C18:E18"/>
    <mergeCell ref="G19:J19"/>
    <mergeCell ref="C13:E13"/>
    <mergeCell ref="H13:J13"/>
    <mergeCell ref="H14:J14"/>
    <mergeCell ref="B15:E15"/>
    <mergeCell ref="H15:J15"/>
    <mergeCell ref="B2:E2"/>
    <mergeCell ref="B9:E9"/>
    <mergeCell ref="B11:E11"/>
    <mergeCell ref="G11:J11"/>
    <mergeCell ref="C12:E12"/>
    <mergeCell ref="H12:J12"/>
  </mergeCells>
  <pageMargins left="0.25" right="0.25" top="0.75" bottom="0.75" header="0.3" footer="0.3"/>
  <pageSetup paperSize="9" scale="85" orientation="portrait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36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329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308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101332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21"/>
      <c r="C10" s="21"/>
      <c r="D10" s="21"/>
      <c r="E10" s="21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1013.32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506.66</v>
      </c>
      <c r="D13" s="34"/>
      <c r="E13" s="34"/>
      <c r="G13" s="15" t="s">
        <v>13</v>
      </c>
      <c r="H13" s="34">
        <f>(0.5%*C7)</f>
        <v>506.66</v>
      </c>
      <c r="I13" s="34"/>
      <c r="J13" s="34"/>
      <c r="K13" s="7"/>
    </row>
    <row r="14" spans="1:12" ht="14.25" x14ac:dyDescent="0.2">
      <c r="A14" s="6"/>
      <c r="B14" s="16"/>
      <c r="C14" s="21"/>
      <c r="D14" s="21"/>
      <c r="E14" s="21"/>
      <c r="G14" s="15" t="s">
        <v>14</v>
      </c>
      <c r="H14" s="34">
        <f>(1%*C7)</f>
        <v>1013.32</v>
      </c>
      <c r="I14" s="34"/>
      <c r="J14" s="34"/>
      <c r="K14" s="7"/>
    </row>
    <row r="15" spans="1:12" ht="14.25" x14ac:dyDescent="0.2">
      <c r="A15" s="6"/>
      <c r="B15" s="33" t="s">
        <v>21</v>
      </c>
      <c r="C15" s="33"/>
      <c r="D15" s="33"/>
      <c r="E15" s="33"/>
      <c r="G15" s="15" t="s">
        <v>16</v>
      </c>
      <c r="H15" s="34">
        <f>(0.5%*C7)</f>
        <v>506.66</v>
      </c>
      <c r="I15" s="34"/>
      <c r="J15" s="34"/>
      <c r="K15" s="7"/>
    </row>
    <row r="16" spans="1:12" ht="14.25" x14ac:dyDescent="0.2">
      <c r="A16" s="6"/>
      <c r="B16" s="15" t="s">
        <v>23</v>
      </c>
      <c r="C16" s="34">
        <f>2%*C7</f>
        <v>2026.64</v>
      </c>
      <c r="D16" s="34"/>
      <c r="E16" s="34"/>
      <c r="G16" s="15" t="s">
        <v>17</v>
      </c>
      <c r="H16" s="34">
        <f>(0.1%*C7)</f>
        <v>101.33200000000001</v>
      </c>
      <c r="I16" s="34"/>
      <c r="J16" s="34"/>
      <c r="K16" s="7"/>
    </row>
    <row r="17" spans="1:11" ht="14.25" x14ac:dyDescent="0.2">
      <c r="A17" s="6"/>
      <c r="B17" s="15"/>
      <c r="C17" s="34"/>
      <c r="D17" s="34"/>
      <c r="E17" s="34"/>
      <c r="K17" s="7"/>
    </row>
    <row r="18" spans="1:11" ht="14.25" x14ac:dyDescent="0.2">
      <c r="A18" s="6"/>
      <c r="B18" s="20"/>
      <c r="C18" s="36"/>
      <c r="D18" s="36"/>
      <c r="E18" s="36"/>
      <c r="K18" s="7"/>
    </row>
    <row r="19" spans="1:11" ht="14.25" x14ac:dyDescent="0.2">
      <c r="A19" s="6"/>
      <c r="B19" s="33" t="s">
        <v>25</v>
      </c>
      <c r="C19" s="33"/>
      <c r="D19" s="33"/>
      <c r="E19" s="33"/>
      <c r="F19" s="11"/>
      <c r="G19" s="37"/>
      <c r="H19" s="37"/>
      <c r="I19" s="37"/>
      <c r="J19" s="37"/>
      <c r="K19" s="7"/>
    </row>
    <row r="20" spans="1:11" ht="14.25" x14ac:dyDescent="0.2">
      <c r="A20" s="6"/>
      <c r="B20" s="15" t="s">
        <v>26</v>
      </c>
      <c r="C20" s="34">
        <f>(2%*C7)</f>
        <v>2026.64</v>
      </c>
      <c r="D20" s="34"/>
      <c r="E20" s="34"/>
      <c r="G20" s="20"/>
      <c r="H20" s="36"/>
      <c r="I20" s="36"/>
      <c r="J20" s="36"/>
      <c r="K20" s="7"/>
    </row>
    <row r="21" spans="1:11" ht="14.25" x14ac:dyDescent="0.2">
      <c r="A21" s="6"/>
      <c r="B21" s="20"/>
      <c r="C21" s="36"/>
      <c r="D21" s="36"/>
      <c r="E21" s="36"/>
      <c r="G21" s="20"/>
      <c r="H21" s="36"/>
      <c r="I21" s="36"/>
      <c r="J21" s="36"/>
      <c r="K21" s="7"/>
    </row>
    <row r="22" spans="1:11" ht="14.25" x14ac:dyDescent="0.2">
      <c r="A22" s="6"/>
      <c r="B22" s="20"/>
      <c r="C22" s="36"/>
      <c r="D22" s="36"/>
      <c r="E22" s="36"/>
      <c r="G22" s="16"/>
      <c r="H22" s="21"/>
      <c r="I22" s="21"/>
      <c r="J22" s="21"/>
      <c r="K22" s="7"/>
    </row>
    <row r="23" spans="1:11" ht="14.25" x14ac:dyDescent="0.2">
      <c r="A23" s="6"/>
      <c r="B23" s="16"/>
      <c r="C23" s="21"/>
      <c r="D23" s="21"/>
      <c r="E23" s="21"/>
      <c r="F23" s="11"/>
      <c r="G23" s="37"/>
      <c r="H23" s="37"/>
      <c r="I23" s="37"/>
      <c r="J23" s="37"/>
      <c r="K23" s="7"/>
    </row>
    <row r="24" spans="1:11" ht="14.25" x14ac:dyDescent="0.2">
      <c r="A24" s="6"/>
      <c r="B24" s="37"/>
      <c r="C24" s="37"/>
      <c r="D24" s="37"/>
      <c r="E24" s="37"/>
      <c r="G24" s="20"/>
      <c r="H24" s="36"/>
      <c r="I24" s="36"/>
      <c r="J24" s="36"/>
      <c r="K24" s="7"/>
    </row>
    <row r="25" spans="1:11" ht="14.25" x14ac:dyDescent="0.2">
      <c r="A25" s="6"/>
      <c r="B25" s="20"/>
      <c r="C25" s="36"/>
      <c r="D25" s="36"/>
      <c r="E25" s="36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8">
    <mergeCell ref="C27:E27"/>
    <mergeCell ref="B19:E19"/>
    <mergeCell ref="C20:E20"/>
    <mergeCell ref="C22:E22"/>
    <mergeCell ref="G23:J23"/>
    <mergeCell ref="B24:E24"/>
    <mergeCell ref="H24:J24"/>
    <mergeCell ref="C25:E25"/>
    <mergeCell ref="H25:J25"/>
    <mergeCell ref="C17:E17"/>
    <mergeCell ref="C18:E18"/>
    <mergeCell ref="G19:J19"/>
    <mergeCell ref="H20:J20"/>
    <mergeCell ref="C21:E21"/>
    <mergeCell ref="H21:J21"/>
    <mergeCell ref="C16:E16"/>
    <mergeCell ref="H16:J16"/>
    <mergeCell ref="B2:E2"/>
    <mergeCell ref="B9:E9"/>
    <mergeCell ref="B11:E11"/>
    <mergeCell ref="G11:J11"/>
    <mergeCell ref="C12:E12"/>
    <mergeCell ref="H12:J12"/>
    <mergeCell ref="C13:E13"/>
    <mergeCell ref="H13:J13"/>
    <mergeCell ref="H14:J14"/>
    <mergeCell ref="B15:E15"/>
    <mergeCell ref="H15:J15"/>
  </mergeCells>
  <pageMargins left="0.25" right="0.25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workbookViewId="0">
      <selection activeCell="C18" sqref="C18:E18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29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0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0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0</v>
      </c>
      <c r="D13" s="34"/>
      <c r="E13" s="34"/>
      <c r="G13" s="15" t="s">
        <v>13</v>
      </c>
      <c r="H13" s="34">
        <f>(0.5%*C7)</f>
        <v>0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0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0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0</v>
      </c>
      <c r="D16" s="34"/>
      <c r="E16" s="34"/>
      <c r="G16" s="15" t="s">
        <v>17</v>
      </c>
      <c r="H16" s="34">
        <f>(0.1%*C7)</f>
        <v>0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0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21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23</v>
      </c>
      <c r="C21" s="34"/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 t="s">
        <v>24</v>
      </c>
      <c r="C22" s="34"/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(2%*C7)</f>
        <v>0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C22:E22"/>
    <mergeCell ref="G23:J23"/>
    <mergeCell ref="B24:E24"/>
    <mergeCell ref="H24:J24"/>
    <mergeCell ref="C25:E25"/>
    <mergeCell ref="H25:J25"/>
    <mergeCell ref="C21:E21"/>
    <mergeCell ref="H21:J21"/>
    <mergeCell ref="C13:E13"/>
    <mergeCell ref="H13:J13"/>
    <mergeCell ref="H14:J14"/>
    <mergeCell ref="B15:E15"/>
    <mergeCell ref="H15:J15"/>
    <mergeCell ref="C16:E16"/>
    <mergeCell ref="H16:J16"/>
    <mergeCell ref="C17:E17"/>
    <mergeCell ref="C18:E18"/>
    <mergeCell ref="G19:J19"/>
    <mergeCell ref="B20:E20"/>
    <mergeCell ref="H20:J20"/>
    <mergeCell ref="B2:E2"/>
    <mergeCell ref="B9:E9"/>
    <mergeCell ref="B11:E11"/>
    <mergeCell ref="G11:J11"/>
    <mergeCell ref="C12:E12"/>
    <mergeCell ref="H12:J1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Normal="100" workbookViewId="0">
      <selection activeCell="C18" sqref="C18:E18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30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0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0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0</v>
      </c>
      <c r="D13" s="34"/>
      <c r="E13" s="34"/>
      <c r="G13" s="15" t="s">
        <v>13</v>
      </c>
      <c r="H13" s="34">
        <f>(0.5%*C7)</f>
        <v>0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0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0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0</v>
      </c>
      <c r="D16" s="34"/>
      <c r="E16" s="34"/>
      <c r="G16" s="15" t="s">
        <v>17</v>
      </c>
      <c r="H16" s="34">
        <f>(0.1%*C7)</f>
        <v>0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0</v>
      </c>
      <c r="D17" s="34"/>
      <c r="E17" s="34"/>
      <c r="K17" s="7"/>
    </row>
    <row r="18" spans="1:11" ht="14.25" x14ac:dyDescent="0.2">
      <c r="A18" s="6"/>
      <c r="B18" s="15" t="s">
        <v>19</v>
      </c>
      <c r="C18" s="34">
        <f>15%*C7</f>
        <v>0</v>
      </c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21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23</v>
      </c>
      <c r="C21" s="34"/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 t="s">
        <v>24</v>
      </c>
      <c r="C22" s="34"/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(2%*C7)</f>
        <v>0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G23:J23"/>
    <mergeCell ref="B24:E24"/>
    <mergeCell ref="H24:J24"/>
    <mergeCell ref="C25:E25"/>
    <mergeCell ref="H25:J25"/>
    <mergeCell ref="B20:E20"/>
    <mergeCell ref="H20:J20"/>
    <mergeCell ref="C21:E21"/>
    <mergeCell ref="H21:J21"/>
    <mergeCell ref="C22:E22"/>
    <mergeCell ref="C16:E16"/>
    <mergeCell ref="H16:J16"/>
    <mergeCell ref="C17:E17"/>
    <mergeCell ref="C18:E18"/>
    <mergeCell ref="G19:J19"/>
    <mergeCell ref="C13:E13"/>
    <mergeCell ref="H13:J13"/>
    <mergeCell ref="H14:J14"/>
    <mergeCell ref="B15:E15"/>
    <mergeCell ref="H15:J15"/>
    <mergeCell ref="B2:E2"/>
    <mergeCell ref="B9:E9"/>
    <mergeCell ref="B11:E11"/>
    <mergeCell ref="G11:J11"/>
    <mergeCell ref="C12:E12"/>
    <mergeCell ref="H12:J12"/>
  </mergeCells>
  <pageMargins left="0.78749999999999998" right="0.78749999999999998" top="1.05277777777778" bottom="1.05277777777778" header="0.78749999999999998" footer="0.78749999999999998"/>
  <pageSetup paperSize="9" scale="85" orientation="portrait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Normal="100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32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512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324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165888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1658.88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829.44</v>
      </c>
      <c r="D13" s="34"/>
      <c r="E13" s="34"/>
      <c r="G13" s="15" t="s">
        <v>13</v>
      </c>
      <c r="H13" s="34">
        <f>(0.5%*C7)</f>
        <v>829.44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1658.88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829.44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829.44</v>
      </c>
      <c r="D16" s="34"/>
      <c r="E16" s="34"/>
      <c r="G16" s="15" t="s">
        <v>17</v>
      </c>
      <c r="H16" s="34">
        <f>(0.1%*C7)</f>
        <v>165.88800000000001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497.66399999999999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21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24</v>
      </c>
      <c r="C21" s="34">
        <f>2%*C7</f>
        <v>3317.76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/>
      <c r="C22" s="34"/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(2%*C7)</f>
        <v>3317.76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G23:J23"/>
    <mergeCell ref="B24:E24"/>
    <mergeCell ref="H24:J24"/>
    <mergeCell ref="C25:E25"/>
    <mergeCell ref="H25:J25"/>
    <mergeCell ref="B20:E20"/>
    <mergeCell ref="H20:J20"/>
    <mergeCell ref="C21:E21"/>
    <mergeCell ref="H21:J21"/>
    <mergeCell ref="C22:E22"/>
    <mergeCell ref="C16:E16"/>
    <mergeCell ref="H16:J16"/>
    <mergeCell ref="C17:E17"/>
    <mergeCell ref="C18:E18"/>
    <mergeCell ref="G19:J19"/>
    <mergeCell ref="C13:E13"/>
    <mergeCell ref="H13:J13"/>
    <mergeCell ref="H14:J14"/>
    <mergeCell ref="B15:E15"/>
    <mergeCell ref="H15:J15"/>
    <mergeCell ref="B2:E2"/>
    <mergeCell ref="B9:E9"/>
    <mergeCell ref="B11:E11"/>
    <mergeCell ref="G11:J11"/>
    <mergeCell ref="C12:E12"/>
    <mergeCell ref="H12:J12"/>
  </mergeCells>
  <pageMargins left="0.25" right="0.25" top="0.75" bottom="0.75" header="0.3" footer="0.3"/>
  <pageSetup paperSize="9" scale="75" orientation="portrait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topLeftCell="A7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56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510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246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125460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21"/>
      <c r="C10" s="21"/>
      <c r="D10" s="21"/>
      <c r="E10" s="21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1254.6000000000001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627.30000000000007</v>
      </c>
      <c r="D13" s="34"/>
      <c r="E13" s="34"/>
      <c r="G13" s="15" t="s">
        <v>13</v>
      </c>
      <c r="H13" s="34">
        <f>(0.5%*C7)</f>
        <v>627.30000000000007</v>
      </c>
      <c r="I13" s="34"/>
      <c r="J13" s="34"/>
      <c r="K13" s="7"/>
    </row>
    <row r="14" spans="1:12" ht="14.25" x14ac:dyDescent="0.2">
      <c r="A14" s="6"/>
      <c r="B14" s="16"/>
      <c r="C14" s="21"/>
      <c r="D14" s="21"/>
      <c r="E14" s="21"/>
      <c r="G14" s="15" t="s">
        <v>14</v>
      </c>
      <c r="H14" s="34">
        <f>(1%*C7)</f>
        <v>1254.6000000000001</v>
      </c>
      <c r="I14" s="34"/>
      <c r="J14" s="34"/>
      <c r="K14" s="7"/>
    </row>
    <row r="15" spans="1:12" ht="14.25" x14ac:dyDescent="0.2">
      <c r="A15" s="6"/>
      <c r="B15" s="33" t="s">
        <v>21</v>
      </c>
      <c r="C15" s="33"/>
      <c r="D15" s="33"/>
      <c r="E15" s="33"/>
      <c r="G15" s="15" t="s">
        <v>16</v>
      </c>
      <c r="H15" s="34">
        <f>(0.5%*C7)</f>
        <v>627.30000000000007</v>
      </c>
      <c r="I15" s="34"/>
      <c r="J15" s="34"/>
      <c r="K15" s="7"/>
    </row>
    <row r="16" spans="1:12" ht="14.25" x14ac:dyDescent="0.2">
      <c r="A16" s="6"/>
      <c r="B16" s="15" t="s">
        <v>24</v>
      </c>
      <c r="C16" s="34">
        <f>2%*C7</f>
        <v>2509.2000000000003</v>
      </c>
      <c r="D16" s="34"/>
      <c r="E16" s="34"/>
      <c r="G16" s="15" t="s">
        <v>17</v>
      </c>
      <c r="H16" s="34">
        <f>(0.1%*C7)</f>
        <v>125.46000000000001</v>
      </c>
      <c r="I16" s="34"/>
      <c r="J16" s="34"/>
      <c r="K16" s="7"/>
    </row>
    <row r="17" spans="1:11" ht="14.25" x14ac:dyDescent="0.2">
      <c r="A17" s="6"/>
      <c r="B17" s="15"/>
      <c r="C17" s="34"/>
      <c r="D17" s="34"/>
      <c r="E17" s="34"/>
      <c r="K17" s="7"/>
    </row>
    <row r="18" spans="1:11" ht="14.25" x14ac:dyDescent="0.2">
      <c r="A18" s="6"/>
      <c r="B18" s="20"/>
      <c r="C18" s="36"/>
      <c r="D18" s="36"/>
      <c r="E18" s="36"/>
      <c r="K18" s="7"/>
    </row>
    <row r="19" spans="1:11" ht="14.25" x14ac:dyDescent="0.2">
      <c r="A19" s="6"/>
      <c r="B19" s="33" t="s">
        <v>25</v>
      </c>
      <c r="C19" s="33"/>
      <c r="D19" s="33"/>
      <c r="E19" s="33"/>
      <c r="F19" s="11"/>
      <c r="G19" s="38" t="s">
        <v>20</v>
      </c>
      <c r="H19" s="39"/>
      <c r="I19" s="39"/>
      <c r="J19" s="40"/>
      <c r="K19" s="7"/>
    </row>
    <row r="20" spans="1:11" ht="14.25" x14ac:dyDescent="0.2">
      <c r="A20" s="6"/>
      <c r="B20" s="15" t="s">
        <v>26</v>
      </c>
      <c r="C20" s="34">
        <f>(2%*C7)</f>
        <v>2509.2000000000003</v>
      </c>
      <c r="D20" s="34"/>
      <c r="E20" s="34"/>
      <c r="G20" s="15" t="s">
        <v>22</v>
      </c>
      <c r="H20" s="41">
        <f>(8%*C7)</f>
        <v>10036.800000000001</v>
      </c>
      <c r="I20" s="42"/>
      <c r="J20" s="43"/>
      <c r="K20" s="7"/>
    </row>
    <row r="21" spans="1:11" ht="14.25" x14ac:dyDescent="0.2">
      <c r="A21" s="6"/>
      <c r="B21" s="20"/>
      <c r="C21" s="36"/>
      <c r="D21" s="36"/>
      <c r="E21" s="36"/>
      <c r="G21" s="15" t="s">
        <v>19</v>
      </c>
      <c r="H21" s="41">
        <f>(15%*C7)</f>
        <v>18819</v>
      </c>
      <c r="I21" s="42"/>
      <c r="J21" s="43"/>
      <c r="K21" s="7"/>
    </row>
    <row r="22" spans="1:11" ht="14.25" x14ac:dyDescent="0.2">
      <c r="A22" s="6"/>
      <c r="B22" s="20"/>
      <c r="C22" s="36"/>
      <c r="D22" s="36"/>
      <c r="E22" s="36"/>
      <c r="G22" s="16"/>
      <c r="H22" s="21"/>
      <c r="I22" s="21"/>
      <c r="J22" s="21"/>
      <c r="K22" s="7"/>
    </row>
    <row r="23" spans="1:11" ht="14.25" x14ac:dyDescent="0.2">
      <c r="A23" s="6"/>
      <c r="B23" s="16"/>
      <c r="C23" s="21"/>
      <c r="D23" s="21"/>
      <c r="E23" s="21"/>
      <c r="F23" s="11"/>
      <c r="G23" s="37"/>
      <c r="H23" s="37"/>
      <c r="I23" s="37"/>
      <c r="J23" s="37"/>
      <c r="K23" s="7"/>
    </row>
    <row r="24" spans="1:11" ht="14.25" x14ac:dyDescent="0.2">
      <c r="A24" s="6"/>
      <c r="B24" s="37"/>
      <c r="C24" s="37"/>
      <c r="D24" s="37"/>
      <c r="E24" s="37"/>
      <c r="G24" s="20"/>
      <c r="H24" s="36"/>
      <c r="I24" s="36"/>
      <c r="J24" s="36"/>
      <c r="K24" s="7"/>
    </row>
    <row r="25" spans="1:11" ht="14.25" x14ac:dyDescent="0.2">
      <c r="A25" s="6"/>
      <c r="B25" s="20"/>
      <c r="C25" s="36"/>
      <c r="D25" s="36"/>
      <c r="E25" s="36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8">
    <mergeCell ref="C27:E27"/>
    <mergeCell ref="B19:E19"/>
    <mergeCell ref="C20:E20"/>
    <mergeCell ref="C22:E22"/>
    <mergeCell ref="G23:J23"/>
    <mergeCell ref="B24:E24"/>
    <mergeCell ref="H24:J24"/>
    <mergeCell ref="C25:E25"/>
    <mergeCell ref="H25:J25"/>
    <mergeCell ref="C17:E17"/>
    <mergeCell ref="C18:E18"/>
    <mergeCell ref="G19:J19"/>
    <mergeCell ref="H20:J20"/>
    <mergeCell ref="C21:E21"/>
    <mergeCell ref="H21:J21"/>
    <mergeCell ref="C16:E16"/>
    <mergeCell ref="H16:J16"/>
    <mergeCell ref="B2:E2"/>
    <mergeCell ref="B9:E9"/>
    <mergeCell ref="B11:E11"/>
    <mergeCell ref="G11:J11"/>
    <mergeCell ref="C12:E12"/>
    <mergeCell ref="H12:J12"/>
    <mergeCell ref="C13:E13"/>
    <mergeCell ref="H13:J13"/>
    <mergeCell ref="H14:J14"/>
    <mergeCell ref="B15:E15"/>
    <mergeCell ref="H15:J15"/>
  </mergeCells>
  <pageMargins left="0.25" right="0.25" top="0.75" bottom="0.75" header="0.3" footer="0.3"/>
  <pageSetup paperSize="9" scale="90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9"/>
  <sheetViews>
    <sheetView topLeftCell="A7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47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700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320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224000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28"/>
      <c r="C10" s="28"/>
      <c r="D10" s="28"/>
      <c r="E10" s="28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2240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1120</v>
      </c>
      <c r="D13" s="34"/>
      <c r="E13" s="34"/>
      <c r="G13" s="15" t="s">
        <v>13</v>
      </c>
      <c r="H13" s="34">
        <f>(0.5%*C7)</f>
        <v>1120</v>
      </c>
      <c r="I13" s="34"/>
      <c r="J13" s="34"/>
      <c r="K13" s="7"/>
    </row>
    <row r="14" spans="1:12" ht="14.25" x14ac:dyDescent="0.2">
      <c r="A14" s="6"/>
      <c r="B14" s="16"/>
      <c r="C14" s="28"/>
      <c r="D14" s="28"/>
      <c r="E14" s="28"/>
      <c r="G14" s="15" t="s">
        <v>16</v>
      </c>
      <c r="H14" s="34">
        <f>(1%*C7)</f>
        <v>2240</v>
      </c>
      <c r="I14" s="34"/>
      <c r="J14" s="34"/>
      <c r="K14" s="7"/>
    </row>
    <row r="15" spans="1:12" ht="14.25" x14ac:dyDescent="0.2">
      <c r="A15" s="6"/>
      <c r="B15" s="33" t="s">
        <v>21</v>
      </c>
      <c r="C15" s="33"/>
      <c r="D15" s="33"/>
      <c r="E15" s="33"/>
      <c r="G15" s="15"/>
      <c r="H15" s="34"/>
      <c r="I15" s="34"/>
      <c r="J15" s="34"/>
      <c r="K15" s="7"/>
    </row>
    <row r="16" spans="1:12" ht="14.25" x14ac:dyDescent="0.2">
      <c r="A16" s="6"/>
      <c r="B16" s="15" t="s">
        <v>24</v>
      </c>
      <c r="C16" s="34">
        <f>3%*C7</f>
        <v>6720</v>
      </c>
      <c r="D16" s="34"/>
      <c r="E16" s="34"/>
      <c r="G16" s="15"/>
      <c r="H16" s="34"/>
      <c r="I16" s="34"/>
      <c r="J16" s="34"/>
      <c r="K16" s="7"/>
    </row>
    <row r="17" spans="1:11" ht="14.25" x14ac:dyDescent="0.2">
      <c r="A17" s="6"/>
      <c r="B17" s="15" t="s">
        <v>48</v>
      </c>
      <c r="C17" s="34">
        <f>2%*C7</f>
        <v>4480</v>
      </c>
      <c r="D17" s="34"/>
      <c r="E17" s="34"/>
      <c r="K17" s="7"/>
    </row>
    <row r="18" spans="1:11" ht="14.25" x14ac:dyDescent="0.2">
      <c r="A18" s="6"/>
      <c r="B18" s="20"/>
      <c r="C18" s="36"/>
      <c r="D18" s="36"/>
      <c r="E18" s="36"/>
      <c r="K18" s="7"/>
    </row>
    <row r="19" spans="1:11" ht="14.25" x14ac:dyDescent="0.2">
      <c r="A19" s="6"/>
      <c r="B19" s="33" t="s">
        <v>25</v>
      </c>
      <c r="C19" s="33"/>
      <c r="D19" s="33"/>
      <c r="E19" s="33"/>
      <c r="F19" s="11"/>
      <c r="G19" s="37"/>
      <c r="H19" s="37"/>
      <c r="I19" s="37"/>
      <c r="J19" s="37"/>
      <c r="K19" s="7"/>
    </row>
    <row r="20" spans="1:11" ht="14.25" x14ac:dyDescent="0.2">
      <c r="A20" s="6"/>
      <c r="B20" s="15" t="s">
        <v>26</v>
      </c>
      <c r="C20" s="34">
        <f>(3%*C7)</f>
        <v>6720</v>
      </c>
      <c r="D20" s="34"/>
      <c r="E20" s="34"/>
      <c r="G20" s="20"/>
      <c r="H20" s="36"/>
      <c r="I20" s="36"/>
      <c r="J20" s="36"/>
      <c r="K20" s="7"/>
    </row>
    <row r="21" spans="1:11" ht="14.25" x14ac:dyDescent="0.2">
      <c r="A21" s="6"/>
      <c r="B21" s="15" t="s">
        <v>26</v>
      </c>
      <c r="C21" s="34">
        <f>(3%*C7)</f>
        <v>6720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 t="s">
        <v>26</v>
      </c>
      <c r="C22" s="34">
        <f>(3%*C7)</f>
        <v>6720</v>
      </c>
      <c r="D22" s="34"/>
      <c r="E22" s="34"/>
      <c r="G22" s="18"/>
      <c r="H22" s="18"/>
      <c r="I22" s="18"/>
      <c r="J22" s="18"/>
      <c r="K22" s="7"/>
    </row>
    <row r="23" spans="1:11" ht="14.25" x14ac:dyDescent="0.2">
      <c r="A23" s="6"/>
      <c r="B23" s="20"/>
      <c r="C23" s="36"/>
      <c r="D23" s="36"/>
      <c r="E23" s="36"/>
      <c r="F23" s="11"/>
      <c r="K23" s="7"/>
    </row>
    <row r="24" spans="1:11" ht="14.25" x14ac:dyDescent="0.2">
      <c r="A24" s="6"/>
      <c r="B24" s="20"/>
      <c r="C24" s="36"/>
      <c r="D24" s="36"/>
      <c r="E24" s="36"/>
      <c r="K24" s="7"/>
    </row>
    <row r="25" spans="1:11" ht="14.25" x14ac:dyDescent="0.2">
      <c r="A25" s="6"/>
      <c r="B25" s="16"/>
      <c r="C25" s="28"/>
      <c r="D25" s="28"/>
      <c r="E25" s="28"/>
      <c r="K25" s="7"/>
    </row>
    <row r="26" spans="1:11" ht="14.25" x14ac:dyDescent="0.2">
      <c r="A26" s="17"/>
      <c r="B26" s="37"/>
      <c r="C26" s="37"/>
      <c r="D26" s="37"/>
      <c r="E26" s="37"/>
      <c r="F26" s="18"/>
      <c r="K26" s="19"/>
    </row>
    <row r="27" spans="1:11" ht="14.25" x14ac:dyDescent="0.2">
      <c r="A27" s="11"/>
      <c r="B27" s="20"/>
      <c r="C27" s="36"/>
      <c r="D27" s="36"/>
      <c r="E27" s="36"/>
    </row>
    <row r="28" spans="1:11" ht="14.25" x14ac:dyDescent="0.2">
      <c r="B28" s="18"/>
      <c r="C28" s="18"/>
      <c r="D28" s="18"/>
      <c r="E28" s="18"/>
    </row>
    <row r="29" spans="1:11" ht="14.25" x14ac:dyDescent="0.2">
      <c r="B29" s="16"/>
      <c r="C29" s="36"/>
      <c r="D29" s="36"/>
      <c r="E29" s="36"/>
    </row>
  </sheetData>
  <mergeCells count="27">
    <mergeCell ref="C27:E27"/>
    <mergeCell ref="H21:J21"/>
    <mergeCell ref="C29:E29"/>
    <mergeCell ref="C20:E20"/>
    <mergeCell ref="C21:E21"/>
    <mergeCell ref="C23:E23"/>
    <mergeCell ref="C24:E24"/>
    <mergeCell ref="G19:J19"/>
    <mergeCell ref="B26:E26"/>
    <mergeCell ref="H20:J20"/>
    <mergeCell ref="C17:E17"/>
    <mergeCell ref="C18:E18"/>
    <mergeCell ref="B19:E19"/>
    <mergeCell ref="C22:E22"/>
    <mergeCell ref="C16:E16"/>
    <mergeCell ref="H16:J16"/>
    <mergeCell ref="B2:E2"/>
    <mergeCell ref="B9:E9"/>
    <mergeCell ref="B11:E11"/>
    <mergeCell ref="G11:J11"/>
    <mergeCell ref="C12:E12"/>
    <mergeCell ref="H12:J12"/>
    <mergeCell ref="C13:E13"/>
    <mergeCell ref="H13:J13"/>
    <mergeCell ref="H14:J14"/>
    <mergeCell ref="B15:E15"/>
    <mergeCell ref="H15:J15"/>
  </mergeCells>
  <pageMargins left="0.511811024" right="0.511811024" top="0.78740157499999996" bottom="0.78740157499999996" header="0.31496062000000002" footer="0.31496062000000002"/>
  <pageSetup paperSize="9" scale="90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1"/>
  <sheetViews>
    <sheetView workbookViewId="0">
      <selection activeCell="O22" sqref="O22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47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/>
      <c r="D4" s="10" t="s">
        <v>2</v>
      </c>
      <c r="K4" s="7"/>
    </row>
    <row r="5" spans="1:12" ht="15" x14ac:dyDescent="0.25">
      <c r="A5" s="6"/>
      <c r="B5" s="8" t="s">
        <v>3</v>
      </c>
      <c r="C5" s="9"/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28"/>
      <c r="C10" s="28"/>
      <c r="D10" s="28"/>
      <c r="E10" s="28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(1.5%*C7)</f>
        <v>0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0</v>
      </c>
      <c r="D13" s="34"/>
      <c r="E13" s="34"/>
      <c r="G13" s="15" t="s">
        <v>13</v>
      </c>
      <c r="H13" s="34">
        <f>(0.5%*C7)</f>
        <v>0</v>
      </c>
      <c r="I13" s="34"/>
      <c r="J13" s="34"/>
      <c r="K13" s="7"/>
    </row>
    <row r="14" spans="1:12" ht="14.25" x14ac:dyDescent="0.2">
      <c r="A14" s="6"/>
      <c r="B14" s="16"/>
      <c r="C14" s="28"/>
      <c r="D14" s="28"/>
      <c r="E14" s="28"/>
      <c r="G14" s="15" t="s">
        <v>16</v>
      </c>
      <c r="H14" s="34">
        <f>(1%*C7)</f>
        <v>0</v>
      </c>
      <c r="I14" s="34"/>
      <c r="J14" s="34"/>
      <c r="K14" s="7"/>
    </row>
    <row r="15" spans="1:12" ht="14.25" x14ac:dyDescent="0.2">
      <c r="A15" s="6"/>
      <c r="B15" s="33" t="s">
        <v>21</v>
      </c>
      <c r="C15" s="33"/>
      <c r="D15" s="33"/>
      <c r="E15" s="33"/>
      <c r="G15" s="15"/>
      <c r="H15" s="34"/>
      <c r="I15" s="34"/>
      <c r="J15" s="34"/>
      <c r="K15" s="7"/>
    </row>
    <row r="16" spans="1:12" ht="14.25" x14ac:dyDescent="0.2">
      <c r="A16" s="6"/>
      <c r="B16" s="15" t="s">
        <v>24</v>
      </c>
      <c r="C16" s="34">
        <f>3%*C7</f>
        <v>0</v>
      </c>
      <c r="D16" s="34"/>
      <c r="E16" s="34"/>
      <c r="G16" s="15"/>
      <c r="H16" s="34"/>
      <c r="I16" s="34"/>
      <c r="J16" s="34"/>
      <c r="K16" s="7"/>
    </row>
    <row r="17" spans="1:11" ht="14.25" x14ac:dyDescent="0.2">
      <c r="A17" s="6"/>
      <c r="B17" s="15" t="s">
        <v>48</v>
      </c>
      <c r="C17" s="34">
        <f>2%*C7</f>
        <v>0</v>
      </c>
      <c r="D17" s="34"/>
      <c r="E17" s="34"/>
      <c r="G17" s="20"/>
      <c r="H17" s="28"/>
      <c r="I17" s="28"/>
      <c r="J17" s="28"/>
      <c r="K17" s="7"/>
    </row>
    <row r="18" spans="1:11" ht="14.25" x14ac:dyDescent="0.2">
      <c r="A18" s="6"/>
      <c r="B18" s="15" t="s">
        <v>23</v>
      </c>
      <c r="C18" s="34">
        <f>2%*C7</f>
        <v>0</v>
      </c>
      <c r="D18" s="34"/>
      <c r="E18" s="34"/>
      <c r="K18" s="7"/>
    </row>
    <row r="19" spans="1:11" ht="14.25" x14ac:dyDescent="0.2">
      <c r="A19" s="6"/>
      <c r="B19" s="20"/>
      <c r="C19" s="36"/>
      <c r="D19" s="36"/>
      <c r="E19" s="36"/>
      <c r="K19" s="7"/>
    </row>
    <row r="20" spans="1:11" ht="14.25" x14ac:dyDescent="0.2">
      <c r="A20" s="6"/>
      <c r="B20" s="33" t="s">
        <v>25</v>
      </c>
      <c r="C20" s="33"/>
      <c r="D20" s="33"/>
      <c r="E20" s="33"/>
      <c r="F20" s="11"/>
      <c r="G20" s="37"/>
      <c r="H20" s="37"/>
      <c r="I20" s="37"/>
      <c r="J20" s="37"/>
      <c r="K20" s="7"/>
    </row>
    <row r="21" spans="1:11" ht="14.25" x14ac:dyDescent="0.2">
      <c r="A21" s="6"/>
      <c r="B21" s="15" t="s">
        <v>26</v>
      </c>
      <c r="C21" s="34">
        <f>(3%*C7)</f>
        <v>0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 t="s">
        <v>26</v>
      </c>
      <c r="C22" s="34">
        <f>(3%*C7)</f>
        <v>0</v>
      </c>
      <c r="D22" s="34"/>
      <c r="E22" s="34"/>
      <c r="G22" s="20"/>
      <c r="H22" s="36"/>
      <c r="I22" s="36"/>
      <c r="J22" s="36"/>
      <c r="K22" s="7"/>
    </row>
    <row r="23" spans="1:11" ht="14.25" x14ac:dyDescent="0.2">
      <c r="A23" s="6"/>
      <c r="B23" s="15" t="s">
        <v>26</v>
      </c>
      <c r="C23" s="34">
        <f>(3%*C7)</f>
        <v>0</v>
      </c>
      <c r="D23" s="34"/>
      <c r="E23" s="34"/>
      <c r="G23" s="20"/>
      <c r="H23" s="28"/>
      <c r="I23" s="28"/>
      <c r="J23" s="28"/>
      <c r="K23" s="7"/>
    </row>
    <row r="24" spans="1:11" ht="14.25" x14ac:dyDescent="0.2">
      <c r="A24" s="6"/>
      <c r="B24" s="15" t="s">
        <v>26</v>
      </c>
      <c r="C24" s="34">
        <f>(1%*C7)</f>
        <v>0</v>
      </c>
      <c r="D24" s="34"/>
      <c r="E24" s="34"/>
      <c r="G24" s="18"/>
      <c r="H24" s="18"/>
      <c r="I24" s="18"/>
      <c r="J24" s="18"/>
      <c r="K24" s="7"/>
    </row>
    <row r="25" spans="1:11" ht="14.25" x14ac:dyDescent="0.2">
      <c r="A25" s="6"/>
      <c r="B25" s="20"/>
      <c r="C25" s="36"/>
      <c r="D25" s="36"/>
      <c r="E25" s="36"/>
      <c r="F25" s="11"/>
      <c r="K25" s="7"/>
    </row>
    <row r="26" spans="1:11" ht="14.25" x14ac:dyDescent="0.2">
      <c r="A26" s="6"/>
      <c r="B26" s="20"/>
      <c r="C26" s="36"/>
      <c r="D26" s="36"/>
      <c r="E26" s="36"/>
      <c r="K26" s="7"/>
    </row>
    <row r="27" spans="1:11" ht="14.25" x14ac:dyDescent="0.2">
      <c r="A27" s="6"/>
      <c r="B27" s="16"/>
      <c r="C27" s="28"/>
      <c r="D27" s="28"/>
      <c r="E27" s="28"/>
      <c r="K27" s="7"/>
    </row>
    <row r="28" spans="1:11" ht="14.25" x14ac:dyDescent="0.2">
      <c r="A28" s="17"/>
      <c r="B28" s="37"/>
      <c r="C28" s="37"/>
      <c r="D28" s="37"/>
      <c r="E28" s="37"/>
      <c r="F28" s="18"/>
      <c r="K28" s="19"/>
    </row>
    <row r="29" spans="1:11" ht="14.25" x14ac:dyDescent="0.2">
      <c r="A29" s="11"/>
      <c r="B29" s="20"/>
      <c r="C29" s="36"/>
      <c r="D29" s="36"/>
      <c r="E29" s="36"/>
    </row>
    <row r="30" spans="1:11" ht="14.25" x14ac:dyDescent="0.2">
      <c r="B30" s="18"/>
      <c r="C30" s="18"/>
      <c r="D30" s="18"/>
      <c r="E30" s="18"/>
    </row>
    <row r="31" spans="1:11" ht="14.25" x14ac:dyDescent="0.2">
      <c r="B31" s="16"/>
      <c r="C31" s="36"/>
      <c r="D31" s="36"/>
      <c r="E31" s="36"/>
    </row>
  </sheetData>
  <mergeCells count="29">
    <mergeCell ref="C29:E29"/>
    <mergeCell ref="C31:E31"/>
    <mergeCell ref="C23:E23"/>
    <mergeCell ref="C17:E17"/>
    <mergeCell ref="C22:E22"/>
    <mergeCell ref="C18:E18"/>
    <mergeCell ref="C19:E19"/>
    <mergeCell ref="B20:E20"/>
    <mergeCell ref="H22:J22"/>
    <mergeCell ref="C24:E24"/>
    <mergeCell ref="C25:E25"/>
    <mergeCell ref="C26:E26"/>
    <mergeCell ref="B28:E28"/>
    <mergeCell ref="G20:J20"/>
    <mergeCell ref="C21:E21"/>
    <mergeCell ref="H21:J21"/>
    <mergeCell ref="C13:E13"/>
    <mergeCell ref="H13:J13"/>
    <mergeCell ref="H14:J14"/>
    <mergeCell ref="B15:E15"/>
    <mergeCell ref="H15:J15"/>
    <mergeCell ref="C16:E16"/>
    <mergeCell ref="H16:J16"/>
    <mergeCell ref="B2:E2"/>
    <mergeCell ref="B9:E9"/>
    <mergeCell ref="B11:E11"/>
    <mergeCell ref="G11:J11"/>
    <mergeCell ref="C12:E12"/>
    <mergeCell ref="H12:J12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Normal="100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33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310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162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50220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502.2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251.1</v>
      </c>
      <c r="D13" s="34"/>
      <c r="E13" s="34"/>
      <c r="G13" s="15" t="s">
        <v>13</v>
      </c>
      <c r="H13" s="34">
        <f>(0.5%*C7)</f>
        <v>251.1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502.2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251.1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251.1</v>
      </c>
      <c r="D16" s="34"/>
      <c r="E16" s="34"/>
      <c r="G16" s="15" t="s">
        <v>17</v>
      </c>
      <c r="H16" s="34">
        <f>(0.1%*C7)</f>
        <v>50.22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150.66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37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38</v>
      </c>
      <c r="C21" s="34">
        <f>12%*C7</f>
        <v>6026.4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 t="s">
        <v>19</v>
      </c>
      <c r="C22" s="34">
        <f>4%*C7</f>
        <v>2008.8</v>
      </c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54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54</v>
      </c>
      <c r="C25" s="34">
        <f>50%*C7</f>
        <v>25110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G23:J23"/>
    <mergeCell ref="B24:E24"/>
    <mergeCell ref="H24:J24"/>
    <mergeCell ref="C25:E25"/>
    <mergeCell ref="H25:J25"/>
    <mergeCell ref="B20:E20"/>
    <mergeCell ref="H20:J20"/>
    <mergeCell ref="C21:E21"/>
    <mergeCell ref="H21:J21"/>
    <mergeCell ref="C22:E22"/>
    <mergeCell ref="C16:E16"/>
    <mergeCell ref="H16:J16"/>
    <mergeCell ref="C17:E17"/>
    <mergeCell ref="C18:E18"/>
    <mergeCell ref="G19:J19"/>
    <mergeCell ref="C13:E13"/>
    <mergeCell ref="H13:J13"/>
    <mergeCell ref="H14:J14"/>
    <mergeCell ref="B15:E15"/>
    <mergeCell ref="H15:J15"/>
    <mergeCell ref="B2:E2"/>
    <mergeCell ref="B9:E9"/>
    <mergeCell ref="B11:E11"/>
    <mergeCell ref="G11:J11"/>
    <mergeCell ref="C12:E12"/>
    <mergeCell ref="H12:J12"/>
  </mergeCells>
  <pageMargins left="0.78749999999999998" right="0.78749999999999998" top="1.05277777777778" bottom="1.05277777777778" header="0.78749999999999998" footer="0.78749999999999998"/>
  <pageSetup paperSize="9" scale="80" orientation="portrait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topLeftCell="A7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35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518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209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108262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1082.6200000000001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541.31000000000006</v>
      </c>
      <c r="D13" s="34"/>
      <c r="E13" s="34"/>
      <c r="G13" s="15" t="s">
        <v>13</v>
      </c>
      <c r="H13" s="34">
        <f>(0.5%*C7)</f>
        <v>541.31000000000006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1082.6200000000001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541.31000000000006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541.31000000000006</v>
      </c>
      <c r="D16" s="34"/>
      <c r="E16" s="34"/>
      <c r="G16" s="15" t="s">
        <v>17</v>
      </c>
      <c r="H16" s="34">
        <f>(0.1%*C7)</f>
        <v>108.262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324.786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7"/>
      <c r="H19" s="37"/>
      <c r="I19" s="37"/>
      <c r="J19" s="37"/>
      <c r="K19" s="7"/>
    </row>
    <row r="20" spans="1:11" ht="14.25" x14ac:dyDescent="0.2">
      <c r="A20" s="6"/>
      <c r="B20" s="33" t="s">
        <v>35</v>
      </c>
      <c r="C20" s="33"/>
      <c r="D20" s="33"/>
      <c r="E20" s="33"/>
      <c r="G20" s="20"/>
      <c r="H20" s="36"/>
      <c r="I20" s="36"/>
      <c r="J20" s="36"/>
      <c r="K20" s="7"/>
    </row>
    <row r="21" spans="1:11" ht="14.25" x14ac:dyDescent="0.2">
      <c r="A21" s="6"/>
      <c r="B21" s="15" t="s">
        <v>23</v>
      </c>
      <c r="C21" s="34">
        <f>8%*C7</f>
        <v>8660.9600000000009</v>
      </c>
      <c r="D21" s="34"/>
      <c r="E21" s="34"/>
      <c r="G21" s="20"/>
      <c r="H21" s="36"/>
      <c r="I21" s="36"/>
      <c r="J21" s="36"/>
      <c r="K21" s="7"/>
    </row>
    <row r="22" spans="1:11" ht="14.25" x14ac:dyDescent="0.2">
      <c r="A22" s="6"/>
      <c r="B22" s="15" t="s">
        <v>39</v>
      </c>
      <c r="C22" s="34">
        <f>0.3%*C7</f>
        <v>324.786</v>
      </c>
      <c r="D22" s="34"/>
      <c r="E22" s="34"/>
      <c r="G22" s="16"/>
      <c r="H22" s="21"/>
      <c r="I22" s="21"/>
      <c r="J22" s="21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2%*C7</f>
        <v>2165.2400000000002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C22:E22"/>
    <mergeCell ref="G23:J23"/>
    <mergeCell ref="B24:E24"/>
    <mergeCell ref="H24:J24"/>
    <mergeCell ref="C25:E25"/>
    <mergeCell ref="H25:J25"/>
    <mergeCell ref="C21:E21"/>
    <mergeCell ref="H21:J21"/>
    <mergeCell ref="C13:E13"/>
    <mergeCell ref="H13:J13"/>
    <mergeCell ref="H14:J14"/>
    <mergeCell ref="B15:E15"/>
    <mergeCell ref="H15:J15"/>
    <mergeCell ref="C16:E16"/>
    <mergeCell ref="H16:J16"/>
    <mergeCell ref="C17:E17"/>
    <mergeCell ref="C18:E18"/>
    <mergeCell ref="G19:J19"/>
    <mergeCell ref="B20:E20"/>
    <mergeCell ref="H20:J20"/>
    <mergeCell ref="B2:E2"/>
    <mergeCell ref="B9:E9"/>
    <mergeCell ref="B11:E11"/>
    <mergeCell ref="G11:J11"/>
    <mergeCell ref="C12:E12"/>
    <mergeCell ref="H12:J12"/>
  </mergeCells>
  <pageMargins left="0.25" right="0.25" top="0.75" bottom="0.75" header="0.3" footer="0.3"/>
  <pageSetup paperSize="9" scale="85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topLeftCell="A4" workbookViewId="0">
      <selection activeCell="C4" sqref="C4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40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700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300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210000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2100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1050</v>
      </c>
      <c r="D13" s="34"/>
      <c r="E13" s="34"/>
      <c r="G13" s="15" t="s">
        <v>13</v>
      </c>
      <c r="H13" s="34">
        <f>(0.5%*C7)</f>
        <v>1050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2100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1050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1050</v>
      </c>
      <c r="D16" s="34"/>
      <c r="E16" s="34"/>
      <c r="G16" s="15" t="s">
        <v>17</v>
      </c>
      <c r="H16" s="34">
        <f>(0.1%*C7)</f>
        <v>210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630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K18" s="7"/>
    </row>
    <row r="19" spans="1:11" ht="14.25" x14ac:dyDescent="0.2">
      <c r="A19" s="6"/>
      <c r="B19" s="16"/>
      <c r="C19" s="13"/>
      <c r="D19" s="13"/>
      <c r="E19" s="13"/>
      <c r="F19" s="11"/>
      <c r="G19" s="33" t="s">
        <v>20</v>
      </c>
      <c r="H19" s="33"/>
      <c r="I19" s="33"/>
      <c r="J19" s="33"/>
      <c r="K19" s="7"/>
    </row>
    <row r="20" spans="1:11" ht="14.25" x14ac:dyDescent="0.2">
      <c r="A20" s="6"/>
      <c r="B20" s="33" t="s">
        <v>21</v>
      </c>
      <c r="C20" s="33"/>
      <c r="D20" s="33"/>
      <c r="E20" s="33"/>
      <c r="G20" s="15" t="s">
        <v>22</v>
      </c>
      <c r="H20" s="34">
        <f>(8%*C7)</f>
        <v>16800</v>
      </c>
      <c r="I20" s="34"/>
      <c r="J20" s="34"/>
      <c r="K20" s="7"/>
    </row>
    <row r="21" spans="1:11" ht="14.25" x14ac:dyDescent="0.2">
      <c r="A21" s="6"/>
      <c r="B21" s="15" t="s">
        <v>23</v>
      </c>
      <c r="C21" s="34">
        <f>2%*C7</f>
        <v>4200</v>
      </c>
      <c r="D21" s="34"/>
      <c r="E21" s="34"/>
      <c r="G21" s="15" t="s">
        <v>19</v>
      </c>
      <c r="H21" s="34">
        <f>(15%*C7)</f>
        <v>31500</v>
      </c>
      <c r="I21" s="34"/>
      <c r="J21" s="34"/>
      <c r="K21" s="7"/>
    </row>
    <row r="22" spans="1:11" ht="14.25" x14ac:dyDescent="0.2">
      <c r="A22" s="6"/>
      <c r="B22" s="15"/>
      <c r="C22" s="34"/>
      <c r="D22" s="34"/>
      <c r="E22" s="34"/>
      <c r="G22" s="16"/>
      <c r="H22" s="13"/>
      <c r="I22" s="13"/>
      <c r="J22" s="13"/>
      <c r="K22" s="7"/>
    </row>
    <row r="23" spans="1:11" ht="14.25" x14ac:dyDescent="0.2">
      <c r="A23" s="6"/>
      <c r="B23" s="16"/>
      <c r="C23" s="13"/>
      <c r="D23" s="13"/>
      <c r="E23" s="13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2%*C7</f>
        <v>4200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C27:E27"/>
    <mergeCell ref="C22:E22"/>
    <mergeCell ref="G23:J23"/>
    <mergeCell ref="B24:E24"/>
    <mergeCell ref="H24:J24"/>
    <mergeCell ref="C25:E25"/>
    <mergeCell ref="H25:J25"/>
    <mergeCell ref="C21:E21"/>
    <mergeCell ref="H21:J21"/>
    <mergeCell ref="C13:E13"/>
    <mergeCell ref="H13:J13"/>
    <mergeCell ref="H14:J14"/>
    <mergeCell ref="B15:E15"/>
    <mergeCell ref="H15:J15"/>
    <mergeCell ref="C16:E16"/>
    <mergeCell ref="H16:J16"/>
    <mergeCell ref="C17:E17"/>
    <mergeCell ref="C18:E18"/>
    <mergeCell ref="G19:J19"/>
    <mergeCell ref="B20:E20"/>
    <mergeCell ref="H20:J20"/>
    <mergeCell ref="B2:E2"/>
    <mergeCell ref="B9:E9"/>
    <mergeCell ref="B11:E11"/>
    <mergeCell ref="G11:J11"/>
    <mergeCell ref="C12:E12"/>
    <mergeCell ref="H12:J12"/>
  </mergeCells>
  <pageMargins left="0.511811024" right="0.511811024" top="0.78740157499999996" bottom="0.78740157499999996" header="0.31496062000000002" footer="0.31496062000000002"/>
  <pageSetup paperSize="9" scale="85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zoomScale="66" zoomScaleNormal="66"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55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510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310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158100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22"/>
      <c r="C10" s="22"/>
      <c r="D10" s="22"/>
      <c r="E10" s="22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1581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790.5</v>
      </c>
      <c r="D13" s="34"/>
      <c r="E13" s="34"/>
      <c r="G13" s="15" t="s">
        <v>13</v>
      </c>
      <c r="H13" s="34">
        <f>(0.5%*C7)</f>
        <v>790.5</v>
      </c>
      <c r="I13" s="34"/>
      <c r="J13" s="34"/>
      <c r="K13" s="7"/>
    </row>
    <row r="14" spans="1:12" ht="14.25" x14ac:dyDescent="0.2">
      <c r="A14" s="6"/>
      <c r="B14" s="16"/>
      <c r="C14" s="22"/>
      <c r="D14" s="22"/>
      <c r="E14" s="22"/>
      <c r="G14" s="15" t="s">
        <v>14</v>
      </c>
      <c r="H14" s="34">
        <f>(1%*C7)</f>
        <v>1581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16</v>
      </c>
      <c r="H15" s="34">
        <f>(0.5%*C7)</f>
        <v>790.5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(0.5%*C7)</f>
        <v>790.5</v>
      </c>
      <c r="D16" s="34"/>
      <c r="E16" s="34"/>
      <c r="G16" s="15" t="s">
        <v>17</v>
      </c>
      <c r="H16" s="34">
        <f>(0.1%*C7)</f>
        <v>158.1</v>
      </c>
      <c r="I16" s="34"/>
      <c r="J16" s="34"/>
      <c r="K16" s="7"/>
    </row>
    <row r="17" spans="1:11" ht="14.25" x14ac:dyDescent="0.2">
      <c r="A17" s="6"/>
      <c r="B17" s="15" t="s">
        <v>18</v>
      </c>
      <c r="C17" s="34">
        <f>(0.3%*C7)</f>
        <v>474.3</v>
      </c>
      <c r="D17" s="34"/>
      <c r="E17" s="34"/>
      <c r="K17" s="7"/>
    </row>
    <row r="18" spans="1:11" ht="14.25" x14ac:dyDescent="0.2">
      <c r="A18" s="6"/>
      <c r="B18" s="15"/>
      <c r="C18" s="34"/>
      <c r="D18" s="34"/>
      <c r="E18" s="34"/>
      <c r="K18" s="7"/>
    </row>
    <row r="19" spans="1:11" ht="14.25" x14ac:dyDescent="0.2">
      <c r="A19" s="6"/>
      <c r="B19" s="16"/>
      <c r="C19" s="22"/>
      <c r="D19" s="22"/>
      <c r="E19" s="22"/>
      <c r="F19" s="11"/>
      <c r="G19" s="33" t="s">
        <v>20</v>
      </c>
      <c r="H19" s="33"/>
      <c r="I19" s="33"/>
      <c r="J19" s="33"/>
      <c r="K19" s="7"/>
    </row>
    <row r="20" spans="1:11" ht="14.25" x14ac:dyDescent="0.2">
      <c r="A20" s="6"/>
      <c r="B20" s="33"/>
      <c r="C20" s="33"/>
      <c r="D20" s="33"/>
      <c r="E20" s="33"/>
      <c r="G20" s="15" t="s">
        <v>22</v>
      </c>
      <c r="H20" s="34">
        <f>(8%*C7)</f>
        <v>12648</v>
      </c>
      <c r="I20" s="34"/>
      <c r="J20" s="34"/>
      <c r="K20" s="7"/>
    </row>
    <row r="21" spans="1:11" ht="14.25" x14ac:dyDescent="0.2">
      <c r="A21" s="6"/>
      <c r="B21" s="15"/>
      <c r="C21" s="34"/>
      <c r="D21" s="34"/>
      <c r="E21" s="34"/>
      <c r="G21" s="15" t="s">
        <v>19</v>
      </c>
      <c r="H21" s="34">
        <f>(15%*C7)</f>
        <v>23715</v>
      </c>
      <c r="I21" s="34"/>
      <c r="J21" s="34"/>
      <c r="K21" s="7"/>
    </row>
    <row r="22" spans="1:11" ht="14.25" x14ac:dyDescent="0.2">
      <c r="A22" s="6"/>
      <c r="B22" s="15"/>
      <c r="C22" s="34"/>
      <c r="D22" s="34"/>
      <c r="E22" s="34"/>
      <c r="G22" s="16"/>
      <c r="H22" s="22"/>
      <c r="I22" s="22"/>
      <c r="J22" s="22"/>
      <c r="K22" s="7"/>
    </row>
    <row r="23" spans="1:11" ht="14.25" x14ac:dyDescent="0.2">
      <c r="A23" s="6"/>
      <c r="B23" s="16"/>
      <c r="C23" s="22"/>
      <c r="D23" s="22"/>
      <c r="E23" s="22"/>
      <c r="F23" s="11"/>
      <c r="G23" s="37"/>
      <c r="H23" s="37"/>
      <c r="I23" s="37"/>
      <c r="J23" s="37"/>
      <c r="K23" s="7"/>
    </row>
    <row r="24" spans="1:11" ht="14.25" x14ac:dyDescent="0.2">
      <c r="A24" s="6"/>
      <c r="B24" s="33" t="s">
        <v>25</v>
      </c>
      <c r="C24" s="33"/>
      <c r="D24" s="33"/>
      <c r="E24" s="33"/>
      <c r="G24" s="20"/>
      <c r="H24" s="36"/>
      <c r="I24" s="36"/>
      <c r="J24" s="36"/>
      <c r="K24" s="7"/>
    </row>
    <row r="25" spans="1:11" ht="14.25" x14ac:dyDescent="0.2">
      <c r="A25" s="6"/>
      <c r="B25" s="15" t="s">
        <v>26</v>
      </c>
      <c r="C25" s="34">
        <f>2%*C7</f>
        <v>3162</v>
      </c>
      <c r="D25" s="34"/>
      <c r="E25" s="34"/>
      <c r="G25" s="20"/>
      <c r="H25" s="36"/>
      <c r="I25" s="36"/>
      <c r="J25" s="36"/>
      <c r="K25" s="7"/>
    </row>
    <row r="26" spans="1:11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.25" x14ac:dyDescent="0.2">
      <c r="A27" s="11"/>
      <c r="B27" s="16"/>
      <c r="C27" s="36"/>
      <c r="D27" s="36"/>
      <c r="E27" s="36"/>
    </row>
  </sheetData>
  <mergeCells count="27">
    <mergeCell ref="B2:E2"/>
    <mergeCell ref="B9:E9"/>
    <mergeCell ref="B11:E11"/>
    <mergeCell ref="G11:J11"/>
    <mergeCell ref="C12:E12"/>
    <mergeCell ref="H12:J12"/>
    <mergeCell ref="C21:E21"/>
    <mergeCell ref="H21:J21"/>
    <mergeCell ref="C13:E13"/>
    <mergeCell ref="H13:J13"/>
    <mergeCell ref="H14:J14"/>
    <mergeCell ref="B15:E15"/>
    <mergeCell ref="H15:J15"/>
    <mergeCell ref="C16:E16"/>
    <mergeCell ref="H16:J16"/>
    <mergeCell ref="C17:E17"/>
    <mergeCell ref="C18:E18"/>
    <mergeCell ref="G19:J19"/>
    <mergeCell ref="B20:E20"/>
    <mergeCell ref="H20:J20"/>
    <mergeCell ref="C27:E27"/>
    <mergeCell ref="C22:E22"/>
    <mergeCell ref="G23:J23"/>
    <mergeCell ref="B24:E24"/>
    <mergeCell ref="H24:J24"/>
    <mergeCell ref="C25:E25"/>
    <mergeCell ref="H25:J25"/>
  </mergeCells>
  <pageMargins left="0.25" right="0.25" top="0.75" bottom="0.75" header="0.3" footer="0.3"/>
  <pageSetup paperSize="9" scale="85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workbookViewId="0">
      <selection activeCell="G19" sqref="G19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20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615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246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151290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13"/>
      <c r="C10" s="13"/>
      <c r="D10" s="13"/>
      <c r="E10" s="1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9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11</v>
      </c>
      <c r="H12" s="34">
        <f>(1%*C7)</f>
        <v>1512.9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(0.5%*C7)</f>
        <v>756.45</v>
      </c>
      <c r="D13" s="34"/>
      <c r="E13" s="34"/>
      <c r="G13" s="15" t="s">
        <v>13</v>
      </c>
      <c r="H13" s="34">
        <f>(0.5%*C7)</f>
        <v>756.45</v>
      </c>
      <c r="I13" s="34"/>
      <c r="J13" s="34"/>
      <c r="K13" s="7"/>
    </row>
    <row r="14" spans="1:12" ht="14.25" x14ac:dyDescent="0.2">
      <c r="A14" s="6"/>
      <c r="B14" s="16"/>
      <c r="C14" s="13"/>
      <c r="D14" s="13"/>
      <c r="E14" s="13"/>
      <c r="G14" s="15" t="s">
        <v>14</v>
      </c>
      <c r="H14" s="34">
        <f>(1%*C7)</f>
        <v>1512.9</v>
      </c>
      <c r="I14" s="34"/>
      <c r="J14" s="34"/>
      <c r="K14" s="7"/>
    </row>
    <row r="15" spans="1:12" ht="14.25" x14ac:dyDescent="0.2">
      <c r="A15" s="6"/>
      <c r="B15" s="25" t="s">
        <v>20</v>
      </c>
      <c r="C15" s="26"/>
      <c r="D15" s="26"/>
      <c r="E15" s="27"/>
      <c r="G15" s="15" t="s">
        <v>16</v>
      </c>
      <c r="H15" s="34">
        <f>(0.5%*C7)</f>
        <v>756.45</v>
      </c>
      <c r="I15" s="34"/>
      <c r="J15" s="34"/>
      <c r="K15" s="7"/>
    </row>
    <row r="16" spans="1:12" ht="14.25" x14ac:dyDescent="0.2">
      <c r="A16" s="6"/>
      <c r="B16" s="15" t="s">
        <v>22</v>
      </c>
      <c r="C16" s="41">
        <f>8%*C7</f>
        <v>12103.2</v>
      </c>
      <c r="D16" s="42"/>
      <c r="E16" s="43"/>
      <c r="G16" s="15" t="s">
        <v>17</v>
      </c>
      <c r="H16" s="34">
        <f>(0.1%*C7)</f>
        <v>151.29</v>
      </c>
      <c r="I16" s="34"/>
      <c r="J16" s="34"/>
      <c r="K16" s="7"/>
    </row>
    <row r="17" spans="1:1024" ht="14.25" x14ac:dyDescent="0.2">
      <c r="A17" s="6"/>
      <c r="B17" s="15" t="s">
        <v>19</v>
      </c>
      <c r="C17" s="41">
        <f>15%*C7</f>
        <v>22693.5</v>
      </c>
      <c r="D17" s="42"/>
      <c r="E17" s="43"/>
      <c r="K17" s="7"/>
    </row>
    <row r="18" spans="1:1024" ht="14.25" x14ac:dyDescent="0.2">
      <c r="A18" s="6"/>
      <c r="B18" s="16"/>
      <c r="C18" s="24"/>
      <c r="D18" s="24"/>
      <c r="E18" s="24"/>
      <c r="G18" s="37"/>
      <c r="H18" s="37"/>
      <c r="I18" s="37"/>
      <c r="J18" s="37"/>
      <c r="K18" s="7"/>
    </row>
    <row r="19" spans="1:1024" ht="14.25" x14ac:dyDescent="0.2">
      <c r="A19" s="6"/>
      <c r="B19" s="33" t="s">
        <v>25</v>
      </c>
      <c r="C19" s="33"/>
      <c r="D19" s="33"/>
      <c r="E19" s="33"/>
      <c r="F19" s="11"/>
      <c r="G19" s="20"/>
      <c r="H19" s="36"/>
      <c r="I19" s="36"/>
      <c r="J19" s="36"/>
      <c r="K19" s="7"/>
    </row>
    <row r="20" spans="1:1024" ht="14.25" x14ac:dyDescent="0.2">
      <c r="A20" s="6"/>
      <c r="B20" s="15" t="s">
        <v>26</v>
      </c>
      <c r="C20" s="34">
        <f>2%*C7</f>
        <v>3025.8</v>
      </c>
      <c r="D20" s="34"/>
      <c r="E20" s="34"/>
      <c r="G20" s="20"/>
      <c r="H20" s="36"/>
      <c r="I20" s="36"/>
      <c r="J20" s="36"/>
      <c r="K20" s="7"/>
    </row>
    <row r="21" spans="1:1024" ht="14.25" x14ac:dyDescent="0.2">
      <c r="A21" s="6"/>
      <c r="C21" s="20"/>
      <c r="D21" s="36"/>
      <c r="E21" s="36"/>
      <c r="F21" s="36"/>
      <c r="G21" s="7"/>
      <c r="AMG21"/>
      <c r="AMH21"/>
      <c r="AMI21"/>
      <c r="AMJ21"/>
    </row>
    <row r="22" spans="1:1024" ht="14.25" x14ac:dyDescent="0.2">
      <c r="A22" s="6"/>
      <c r="C22" s="16"/>
      <c r="D22" s="13"/>
      <c r="E22" s="13"/>
      <c r="F22" s="13"/>
      <c r="G22" s="7"/>
      <c r="AMG22"/>
      <c r="AMH22"/>
      <c r="AMI22"/>
      <c r="AMJ22"/>
    </row>
    <row r="23" spans="1:1024" ht="14.25" x14ac:dyDescent="0.2">
      <c r="A23" s="6"/>
      <c r="B23" s="11"/>
      <c r="C23" s="37"/>
      <c r="D23" s="37"/>
      <c r="E23" s="37"/>
      <c r="F23" s="37"/>
      <c r="G23" s="7"/>
      <c r="AMG23"/>
      <c r="AMH23"/>
      <c r="AMI23"/>
      <c r="AMJ23"/>
    </row>
    <row r="24" spans="1:1024" ht="14.25" x14ac:dyDescent="0.2">
      <c r="A24" s="6"/>
      <c r="C24" s="20"/>
      <c r="D24" s="36"/>
      <c r="E24" s="36"/>
      <c r="F24" s="36"/>
      <c r="G24" s="7"/>
      <c r="AMG24"/>
      <c r="AMH24"/>
      <c r="AMI24"/>
      <c r="AMJ24"/>
    </row>
    <row r="25" spans="1:1024" ht="14.25" x14ac:dyDescent="0.2">
      <c r="A25" s="6"/>
      <c r="C25" s="20"/>
      <c r="D25" s="36"/>
      <c r="E25" s="36"/>
      <c r="F25" s="36"/>
      <c r="G25" s="7"/>
      <c r="AMG25"/>
      <c r="AMH25"/>
      <c r="AMI25"/>
      <c r="AMJ25"/>
    </row>
    <row r="26" spans="1:1024" ht="14.25" x14ac:dyDescent="0.2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024" ht="14.25" x14ac:dyDescent="0.2">
      <c r="A27" s="11"/>
      <c r="B27" s="16"/>
      <c r="C27" s="36"/>
      <c r="D27" s="36"/>
      <c r="E27" s="36"/>
    </row>
  </sheetData>
  <mergeCells count="23">
    <mergeCell ref="H20:J20"/>
    <mergeCell ref="G18:J18"/>
    <mergeCell ref="H19:J19"/>
    <mergeCell ref="C23:F23"/>
    <mergeCell ref="D24:F24"/>
    <mergeCell ref="C17:E17"/>
    <mergeCell ref="C13:E13"/>
    <mergeCell ref="B19:E19"/>
    <mergeCell ref="C20:E20"/>
    <mergeCell ref="C27:E27"/>
    <mergeCell ref="D21:F21"/>
    <mergeCell ref="D25:F25"/>
    <mergeCell ref="H13:J13"/>
    <mergeCell ref="H14:J14"/>
    <mergeCell ref="H15:J15"/>
    <mergeCell ref="C16:E16"/>
    <mergeCell ref="H16:J16"/>
    <mergeCell ref="B2:E2"/>
    <mergeCell ref="B9:E9"/>
    <mergeCell ref="B11:E11"/>
    <mergeCell ref="G11:J11"/>
    <mergeCell ref="C12:E12"/>
    <mergeCell ref="H12:J12"/>
  </mergeCells>
  <pageMargins left="0.25" right="0.25" top="0.75" bottom="0.75" header="0.3" footer="0.3"/>
  <pageSetup paperSize="9" scale="80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5"/>
  <sheetViews>
    <sheetView workbookViewId="0">
      <selection activeCell="C6" sqref="C6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41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287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518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148666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23"/>
      <c r="C10" s="23"/>
      <c r="D10" s="23"/>
      <c r="E10" s="23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42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43</v>
      </c>
      <c r="H12" s="34">
        <f>(1%*C7)</f>
        <v>1486.66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(1%*C7)</f>
        <v>1486.66</v>
      </c>
      <c r="D13" s="34"/>
      <c r="E13" s="34"/>
      <c r="G13" s="15" t="s">
        <v>44</v>
      </c>
      <c r="H13" s="34">
        <f>(4%*C7)</f>
        <v>5946.64</v>
      </c>
      <c r="I13" s="34"/>
      <c r="J13" s="34"/>
      <c r="K13" s="7"/>
    </row>
    <row r="14" spans="1:12" ht="14.25" x14ac:dyDescent="0.2">
      <c r="A14" s="6"/>
      <c r="B14" s="16"/>
      <c r="C14" s="23"/>
      <c r="D14" s="23"/>
      <c r="E14" s="23"/>
      <c r="G14" s="15" t="s">
        <v>45</v>
      </c>
      <c r="H14" s="34">
        <f>(20%*C7)</f>
        <v>29733.200000000001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46</v>
      </c>
      <c r="H15" s="34">
        <f>(5%*C7)</f>
        <v>7433.3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(1%*C7)</f>
        <v>1486.66</v>
      </c>
      <c r="D16" s="34"/>
      <c r="E16" s="34"/>
      <c r="G16" s="15"/>
      <c r="H16" s="34"/>
      <c r="I16" s="34"/>
      <c r="J16" s="34"/>
      <c r="K16" s="7"/>
    </row>
    <row r="17" spans="1:11" ht="14.25" x14ac:dyDescent="0.2">
      <c r="A17" s="6"/>
      <c r="B17" s="16"/>
      <c r="C17" s="23"/>
      <c r="D17" s="23"/>
      <c r="E17" s="23"/>
      <c r="F17" s="11"/>
      <c r="G17" s="20"/>
      <c r="H17" s="36"/>
      <c r="I17" s="36"/>
      <c r="J17" s="36"/>
      <c r="K17" s="7"/>
    </row>
    <row r="18" spans="1:11" ht="14.25" x14ac:dyDescent="0.2">
      <c r="A18" s="6"/>
      <c r="B18" s="37"/>
      <c r="C18" s="37"/>
      <c r="D18" s="37"/>
      <c r="E18" s="37"/>
      <c r="G18" s="20"/>
      <c r="H18" s="36"/>
      <c r="I18" s="36"/>
      <c r="J18" s="36"/>
      <c r="K18" s="7"/>
    </row>
    <row r="19" spans="1:11" ht="14.25" x14ac:dyDescent="0.2">
      <c r="A19" s="6"/>
      <c r="B19" s="20"/>
      <c r="C19" s="36"/>
      <c r="D19" s="36"/>
      <c r="E19" s="36"/>
      <c r="G19" s="20"/>
      <c r="H19" s="36"/>
      <c r="I19" s="36"/>
      <c r="J19" s="36"/>
      <c r="K19" s="7"/>
    </row>
    <row r="20" spans="1:11" ht="14.25" x14ac:dyDescent="0.2">
      <c r="A20" s="6"/>
      <c r="B20" s="20"/>
      <c r="C20" s="36"/>
      <c r="D20" s="36"/>
      <c r="E20" s="36"/>
      <c r="G20" s="16"/>
      <c r="H20" s="23"/>
      <c r="I20" s="23"/>
      <c r="J20" s="23"/>
      <c r="K20" s="7"/>
    </row>
    <row r="21" spans="1:11" ht="14.25" x14ac:dyDescent="0.2">
      <c r="A21" s="6"/>
      <c r="B21" s="16"/>
      <c r="C21" s="23"/>
      <c r="D21" s="23"/>
      <c r="E21" s="23"/>
      <c r="F21" s="11"/>
      <c r="G21" s="37"/>
      <c r="H21" s="37"/>
      <c r="I21" s="37"/>
      <c r="J21" s="37"/>
      <c r="K21" s="7"/>
    </row>
    <row r="22" spans="1:11" ht="14.25" x14ac:dyDescent="0.2">
      <c r="A22" s="6"/>
      <c r="B22" s="37"/>
      <c r="C22" s="37"/>
      <c r="D22" s="37"/>
      <c r="E22" s="37"/>
      <c r="G22" s="20"/>
      <c r="H22" s="36"/>
      <c r="I22" s="36"/>
      <c r="J22" s="36"/>
      <c r="K22" s="7"/>
    </row>
    <row r="23" spans="1:11" ht="14.25" x14ac:dyDescent="0.2">
      <c r="A23" s="6"/>
      <c r="B23" s="20"/>
      <c r="C23" s="36"/>
      <c r="D23" s="36"/>
      <c r="E23" s="36"/>
      <c r="G23" s="20"/>
      <c r="H23" s="36"/>
      <c r="I23" s="36"/>
      <c r="J23" s="36"/>
      <c r="K23" s="7"/>
    </row>
    <row r="24" spans="1:11" ht="14.25" x14ac:dyDescent="0.2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9"/>
    </row>
    <row r="25" spans="1:11" ht="14.25" x14ac:dyDescent="0.2">
      <c r="A25" s="11"/>
      <c r="B25" s="16"/>
      <c r="C25" s="36"/>
      <c r="D25" s="36"/>
      <c r="E25" s="36"/>
    </row>
  </sheetData>
  <mergeCells count="25">
    <mergeCell ref="C23:E23"/>
    <mergeCell ref="H23:J23"/>
    <mergeCell ref="C25:E25"/>
    <mergeCell ref="C19:E19"/>
    <mergeCell ref="H19:J19"/>
    <mergeCell ref="C20:E20"/>
    <mergeCell ref="G21:J21"/>
    <mergeCell ref="B22:E22"/>
    <mergeCell ref="H22:J22"/>
    <mergeCell ref="H17:J17"/>
    <mergeCell ref="B18:E18"/>
    <mergeCell ref="H18:J18"/>
    <mergeCell ref="C13:E13"/>
    <mergeCell ref="H13:J13"/>
    <mergeCell ref="H14:J14"/>
    <mergeCell ref="B15:E15"/>
    <mergeCell ref="H15:J15"/>
    <mergeCell ref="C16:E16"/>
    <mergeCell ref="H16:J16"/>
    <mergeCell ref="B2:E2"/>
    <mergeCell ref="B9:E9"/>
    <mergeCell ref="B11:E11"/>
    <mergeCell ref="G11:J11"/>
    <mergeCell ref="C12:E12"/>
    <mergeCell ref="H12:J12"/>
  </mergeCells>
  <pageMargins left="0.25" right="0.25" top="0.75" bottom="0.75" header="0.3" footer="0.3"/>
  <pageSetup paperSize="9" scale="90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5"/>
  <sheetViews>
    <sheetView workbookViewId="0">
      <selection activeCell="H14" sqref="H14:J14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2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18.75" x14ac:dyDescent="0.3">
      <c r="A2" s="6"/>
      <c r="B2" s="31" t="s">
        <v>51</v>
      </c>
      <c r="C2" s="31"/>
      <c r="D2" s="31"/>
      <c r="E2" s="31"/>
      <c r="K2" s="7"/>
    </row>
    <row r="3" spans="1:12" x14ac:dyDescent="0.2">
      <c r="A3" s="6"/>
      <c r="K3" s="7"/>
    </row>
    <row r="4" spans="1:12" ht="15" x14ac:dyDescent="0.25">
      <c r="A4" s="6"/>
      <c r="B4" s="8" t="s">
        <v>1</v>
      </c>
      <c r="C4" s="9">
        <v>310</v>
      </c>
      <c r="D4" s="10" t="s">
        <v>2</v>
      </c>
      <c r="K4" s="7"/>
    </row>
    <row r="5" spans="1:12" ht="15" x14ac:dyDescent="0.25">
      <c r="A5" s="6"/>
      <c r="B5" s="8" t="s">
        <v>3</v>
      </c>
      <c r="C5" s="9">
        <v>600</v>
      </c>
      <c r="D5" s="10" t="s">
        <v>4</v>
      </c>
      <c r="K5" s="7"/>
    </row>
    <row r="6" spans="1:12" x14ac:dyDescent="0.2">
      <c r="A6" s="6"/>
      <c r="B6" s="11"/>
      <c r="C6" s="11"/>
      <c r="D6" s="11"/>
      <c r="K6" s="7"/>
    </row>
    <row r="7" spans="1:12" ht="15" x14ac:dyDescent="0.25">
      <c r="A7" s="6"/>
      <c r="B7" s="8" t="s">
        <v>5</v>
      </c>
      <c r="C7" s="12">
        <f>C4*C5</f>
        <v>186000</v>
      </c>
      <c r="D7" s="10" t="s">
        <v>6</v>
      </c>
      <c r="K7" s="7"/>
    </row>
    <row r="8" spans="1:12" x14ac:dyDescent="0.2">
      <c r="A8" s="6"/>
      <c r="K8" s="7"/>
    </row>
    <row r="9" spans="1:12" ht="18" x14ac:dyDescent="0.25">
      <c r="A9" s="6"/>
      <c r="B9" s="32" t="s">
        <v>7</v>
      </c>
      <c r="C9" s="32"/>
      <c r="D9" s="32"/>
      <c r="E9" s="32"/>
      <c r="K9" s="7"/>
    </row>
    <row r="10" spans="1:12" ht="14.25" x14ac:dyDescent="0.2">
      <c r="A10" s="6"/>
      <c r="B10" s="30"/>
      <c r="C10" s="30"/>
      <c r="D10" s="30"/>
      <c r="E10" s="30"/>
      <c r="K10" s="7"/>
    </row>
    <row r="11" spans="1:12" ht="14.25" x14ac:dyDescent="0.2">
      <c r="A11" s="6"/>
      <c r="B11" s="33" t="s">
        <v>8</v>
      </c>
      <c r="C11" s="33"/>
      <c r="D11" s="33"/>
      <c r="E11" s="33"/>
      <c r="G11" s="33" t="s">
        <v>42</v>
      </c>
      <c r="H11" s="33"/>
      <c r="I11" s="33"/>
      <c r="J11" s="33"/>
      <c r="K11" s="7"/>
    </row>
    <row r="12" spans="1:12" ht="14.25" x14ac:dyDescent="0.2">
      <c r="A12" s="6"/>
      <c r="B12" s="14"/>
      <c r="C12" s="34" t="s">
        <v>10</v>
      </c>
      <c r="D12" s="34"/>
      <c r="E12" s="34"/>
      <c r="G12" s="15" t="s">
        <v>43</v>
      </c>
      <c r="H12" s="34">
        <f>(1%*C7)</f>
        <v>1860</v>
      </c>
      <c r="I12" s="34"/>
      <c r="J12" s="34"/>
      <c r="K12" s="7"/>
    </row>
    <row r="13" spans="1:12" ht="14.25" x14ac:dyDescent="0.2">
      <c r="A13" s="6"/>
      <c r="B13" s="15" t="s">
        <v>12</v>
      </c>
      <c r="C13" s="34">
        <f>(1%*C7)</f>
        <v>1860</v>
      </c>
      <c r="D13" s="34"/>
      <c r="E13" s="34"/>
      <c r="G13" s="15" t="s">
        <v>52</v>
      </c>
      <c r="H13" s="34">
        <f>(0.5%*C7)</f>
        <v>930</v>
      </c>
      <c r="I13" s="34"/>
      <c r="J13" s="34"/>
      <c r="K13" s="7"/>
    </row>
    <row r="14" spans="1:12" ht="14.25" x14ac:dyDescent="0.2">
      <c r="A14" s="6"/>
      <c r="B14" s="16"/>
      <c r="C14" s="30"/>
      <c r="D14" s="30"/>
      <c r="E14" s="30"/>
      <c r="G14" s="15" t="s">
        <v>45</v>
      </c>
      <c r="H14" s="34">
        <f>(40%*C7)</f>
        <v>74400</v>
      </c>
      <c r="I14" s="34"/>
      <c r="J14" s="34"/>
      <c r="K14" s="7"/>
    </row>
    <row r="15" spans="1:12" ht="14.25" x14ac:dyDescent="0.2">
      <c r="A15" s="6"/>
      <c r="B15" s="35" t="s">
        <v>15</v>
      </c>
      <c r="C15" s="35"/>
      <c r="D15" s="35"/>
      <c r="E15" s="35"/>
      <c r="G15" s="15" t="s">
        <v>53</v>
      </c>
      <c r="H15" s="34">
        <f>(7%*C7)</f>
        <v>13020.000000000002</v>
      </c>
      <c r="I15" s="34"/>
      <c r="J15" s="34"/>
      <c r="K15" s="7"/>
    </row>
    <row r="16" spans="1:12" ht="14.25" x14ac:dyDescent="0.2">
      <c r="A16" s="6"/>
      <c r="B16" s="15" t="s">
        <v>13</v>
      </c>
      <c r="C16" s="34">
        <f>(1%*C7)</f>
        <v>1860</v>
      </c>
      <c r="D16" s="34"/>
      <c r="E16" s="34"/>
      <c r="G16" s="15"/>
      <c r="H16" s="34"/>
      <c r="I16" s="34"/>
      <c r="J16" s="34"/>
      <c r="K16" s="7"/>
    </row>
    <row r="17" spans="1:11" ht="14.25" x14ac:dyDescent="0.2">
      <c r="A17" s="6"/>
      <c r="B17" s="16"/>
      <c r="C17" s="30"/>
      <c r="D17" s="30"/>
      <c r="E17" s="30"/>
      <c r="F17" s="11"/>
      <c r="G17" s="20"/>
      <c r="H17" s="36"/>
      <c r="I17" s="36"/>
      <c r="J17" s="36"/>
      <c r="K17" s="7"/>
    </row>
    <row r="18" spans="1:11" ht="14.25" x14ac:dyDescent="0.2">
      <c r="A18" s="6"/>
      <c r="B18" s="37"/>
      <c r="C18" s="37"/>
      <c r="D18" s="37"/>
      <c r="E18" s="37"/>
      <c r="G18" s="20"/>
      <c r="H18" s="36"/>
      <c r="I18" s="36"/>
      <c r="J18" s="36"/>
      <c r="K18" s="7"/>
    </row>
    <row r="19" spans="1:11" ht="14.25" x14ac:dyDescent="0.2">
      <c r="A19" s="6"/>
      <c r="B19" s="20"/>
      <c r="C19" s="36"/>
      <c r="D19" s="36"/>
      <c r="E19" s="36"/>
      <c r="G19" s="20"/>
      <c r="H19" s="36"/>
      <c r="I19" s="36"/>
      <c r="J19" s="36"/>
      <c r="K19" s="7"/>
    </row>
    <row r="20" spans="1:11" ht="14.25" x14ac:dyDescent="0.2">
      <c r="A20" s="6"/>
      <c r="B20" s="20"/>
      <c r="C20" s="36"/>
      <c r="D20" s="36"/>
      <c r="E20" s="36"/>
      <c r="G20" s="16"/>
      <c r="H20" s="30"/>
      <c r="I20" s="30"/>
      <c r="J20" s="30"/>
      <c r="K20" s="7"/>
    </row>
    <row r="21" spans="1:11" ht="14.25" x14ac:dyDescent="0.2">
      <c r="A21" s="6"/>
      <c r="B21" s="16"/>
      <c r="C21" s="30"/>
      <c r="D21" s="30"/>
      <c r="E21" s="30"/>
      <c r="F21" s="11"/>
      <c r="G21" s="37"/>
      <c r="H21" s="37"/>
      <c r="I21" s="37"/>
      <c r="J21" s="37"/>
      <c r="K21" s="7"/>
    </row>
    <row r="22" spans="1:11" ht="14.25" x14ac:dyDescent="0.2">
      <c r="A22" s="6"/>
      <c r="B22" s="37"/>
      <c r="C22" s="37"/>
      <c r="D22" s="37"/>
      <c r="E22" s="37"/>
      <c r="G22" s="20"/>
      <c r="H22" s="36"/>
      <c r="I22" s="36"/>
      <c r="J22" s="36"/>
      <c r="K22" s="7"/>
    </row>
    <row r="23" spans="1:11" ht="14.25" x14ac:dyDescent="0.2">
      <c r="A23" s="6"/>
      <c r="B23" s="20"/>
      <c r="C23" s="36"/>
      <c r="D23" s="36"/>
      <c r="E23" s="36"/>
      <c r="G23" s="20"/>
      <c r="H23" s="36"/>
      <c r="I23" s="36"/>
      <c r="J23" s="36"/>
      <c r="K23" s="7"/>
    </row>
    <row r="24" spans="1:11" ht="14.25" x14ac:dyDescent="0.2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9"/>
    </row>
    <row r="25" spans="1:11" ht="14.25" x14ac:dyDescent="0.2">
      <c r="A25" s="11"/>
      <c r="B25" s="16"/>
      <c r="C25" s="36"/>
      <c r="D25" s="36"/>
      <c r="E25" s="36"/>
    </row>
  </sheetData>
  <mergeCells count="25">
    <mergeCell ref="C25:E25"/>
    <mergeCell ref="H17:J17"/>
    <mergeCell ref="B18:E18"/>
    <mergeCell ref="H18:J18"/>
    <mergeCell ref="C19:E19"/>
    <mergeCell ref="H19:J19"/>
    <mergeCell ref="C20:E20"/>
    <mergeCell ref="G21:J21"/>
    <mergeCell ref="B22:E22"/>
    <mergeCell ref="H22:J22"/>
    <mergeCell ref="C23:E23"/>
    <mergeCell ref="H23:J23"/>
    <mergeCell ref="C16:E16"/>
    <mergeCell ref="H16:J16"/>
    <mergeCell ref="B2:E2"/>
    <mergeCell ref="B9:E9"/>
    <mergeCell ref="B11:E11"/>
    <mergeCell ref="G11:J11"/>
    <mergeCell ref="C12:E12"/>
    <mergeCell ref="H12:J12"/>
    <mergeCell ref="C13:E13"/>
    <mergeCell ref="H13:J13"/>
    <mergeCell ref="H14:J14"/>
    <mergeCell ref="B15:E15"/>
    <mergeCell ref="H15:J15"/>
  </mergeCells>
  <pageMargins left="0.511811024" right="0.511811024" top="0.78740157499999996" bottom="0.78740157499999996" header="0.31496062000000002" footer="0.31496062000000002"/>
  <pageSetup paperSize="9" scale="90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5"/>
  <sheetViews>
    <sheetView workbookViewId="0">
      <selection activeCell="H18" sqref="H18:J18"/>
    </sheetView>
  </sheetViews>
  <sheetFormatPr defaultColWidth="8.7109375" defaultRowHeight="12.75" x14ac:dyDescent="0.2"/>
  <cols>
    <col min="1" max="1" width="2.140625" style="1" customWidth="1"/>
    <col min="2" max="2" width="23.7109375" style="1" customWidth="1"/>
    <col min="3" max="3" width="11.140625" style="1" customWidth="1"/>
    <col min="4" max="4" width="10.28515625" style="1" customWidth="1"/>
    <col min="5" max="5" width="4.85546875" style="1" customWidth="1"/>
    <col min="6" max="6" width="1.5703125" style="1" customWidth="1"/>
    <col min="7" max="7" width="16.140625" style="1" customWidth="1"/>
    <col min="8" max="10" width="8.7109375" style="1"/>
    <col min="11" max="11" width="3.7109375" style="1" customWidth="1"/>
    <col min="12" max="1024" width="8.7109375" style="1"/>
  </cols>
  <sheetData>
    <row r="1" spans="1:1024" ht="56.6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024" ht="18.75" x14ac:dyDescent="0.3">
      <c r="A2" s="6"/>
      <c r="B2" s="31" t="s">
        <v>49</v>
      </c>
      <c r="C2" s="31"/>
      <c r="D2" s="31"/>
      <c r="E2" s="31"/>
      <c r="K2" s="7"/>
    </row>
    <row r="3" spans="1:1024" x14ac:dyDescent="0.2">
      <c r="A3" s="6"/>
      <c r="K3" s="7"/>
    </row>
    <row r="4" spans="1:1024" ht="15" x14ac:dyDescent="0.25">
      <c r="A4" s="6"/>
      <c r="B4" s="8" t="s">
        <v>1</v>
      </c>
      <c r="C4" s="9">
        <v>245</v>
      </c>
      <c r="D4" s="10" t="s">
        <v>2</v>
      </c>
      <c r="K4" s="7"/>
    </row>
    <row r="5" spans="1:1024" ht="15" x14ac:dyDescent="0.25">
      <c r="A5" s="6"/>
      <c r="B5" s="8" t="s">
        <v>3</v>
      </c>
      <c r="C5" s="9">
        <v>245</v>
      </c>
      <c r="D5" s="10" t="s">
        <v>4</v>
      </c>
      <c r="K5" s="7"/>
    </row>
    <row r="6" spans="1:1024" x14ac:dyDescent="0.2">
      <c r="A6" s="6"/>
      <c r="B6" s="11"/>
      <c r="C6" s="11"/>
      <c r="D6" s="11"/>
      <c r="K6" s="7"/>
    </row>
    <row r="7" spans="1:1024" ht="15" x14ac:dyDescent="0.25">
      <c r="A7" s="6"/>
      <c r="B7" s="8" t="s">
        <v>5</v>
      </c>
      <c r="C7" s="12">
        <f>C4*C5</f>
        <v>60025</v>
      </c>
      <c r="D7" s="10" t="s">
        <v>6</v>
      </c>
      <c r="K7" s="7"/>
    </row>
    <row r="8" spans="1:1024" x14ac:dyDescent="0.2">
      <c r="A8" s="6"/>
      <c r="K8" s="7"/>
    </row>
    <row r="9" spans="1:1024" ht="18" x14ac:dyDescent="0.25">
      <c r="A9" s="6"/>
      <c r="B9" s="32" t="s">
        <v>7</v>
      </c>
      <c r="C9" s="32"/>
      <c r="D9" s="32"/>
      <c r="E9" s="32"/>
      <c r="K9" s="7"/>
    </row>
    <row r="10" spans="1:1024" ht="14.25" x14ac:dyDescent="0.2">
      <c r="A10" s="6"/>
      <c r="B10" s="29"/>
      <c r="C10" s="29"/>
      <c r="D10" s="29"/>
      <c r="E10" s="29"/>
      <c r="K10" s="7"/>
    </row>
    <row r="11" spans="1:1024" ht="14.25" x14ac:dyDescent="0.2">
      <c r="A11" s="6"/>
      <c r="B11" s="33" t="s">
        <v>9</v>
      </c>
      <c r="C11" s="33"/>
      <c r="D11" s="33"/>
      <c r="E11" s="33"/>
      <c r="G11" s="7"/>
      <c r="AMG11"/>
      <c r="AMH11"/>
      <c r="AMI11"/>
      <c r="AMJ11"/>
    </row>
    <row r="12" spans="1:1024" ht="14.25" x14ac:dyDescent="0.2">
      <c r="A12" s="6"/>
      <c r="B12" s="14"/>
      <c r="C12" s="34" t="s">
        <v>10</v>
      </c>
      <c r="D12" s="34"/>
      <c r="E12" s="34"/>
      <c r="G12" s="7"/>
      <c r="AMG12"/>
      <c r="AMH12"/>
      <c r="AMI12"/>
      <c r="AMJ12"/>
    </row>
    <row r="13" spans="1:1024" ht="14.25" x14ac:dyDescent="0.2">
      <c r="A13" s="6"/>
      <c r="B13" s="14" t="s">
        <v>14</v>
      </c>
      <c r="C13" s="41">
        <f>2%*C7</f>
        <v>1200.5</v>
      </c>
      <c r="D13" s="42"/>
      <c r="E13" s="43"/>
      <c r="G13" s="7"/>
      <c r="AMG13"/>
      <c r="AMH13"/>
      <c r="AMI13"/>
      <c r="AMJ13"/>
    </row>
    <row r="14" spans="1:1024" ht="14.25" x14ac:dyDescent="0.2">
      <c r="A14" s="6"/>
      <c r="B14" s="15" t="s">
        <v>50</v>
      </c>
      <c r="C14" s="34">
        <f>2%*C7</f>
        <v>1200.5</v>
      </c>
      <c r="D14" s="34"/>
      <c r="E14" s="34"/>
      <c r="G14" s="7"/>
      <c r="AMG14"/>
      <c r="AMH14"/>
      <c r="AMI14"/>
      <c r="AMJ14"/>
    </row>
    <row r="15" spans="1:1024" ht="14.25" x14ac:dyDescent="0.2">
      <c r="A15" s="6"/>
      <c r="B15" s="16"/>
      <c r="C15" s="29"/>
      <c r="D15" s="29"/>
      <c r="E15" s="29"/>
      <c r="G15" s="7"/>
      <c r="AMG15"/>
      <c r="AMH15"/>
      <c r="AMI15"/>
      <c r="AMJ15"/>
    </row>
    <row r="16" spans="1:1024" ht="14.25" x14ac:dyDescent="0.2">
      <c r="A16" s="6"/>
      <c r="B16" s="16"/>
      <c r="C16" s="29"/>
      <c r="D16" s="29"/>
      <c r="E16" s="29"/>
      <c r="G16" s="7"/>
      <c r="AMG16"/>
      <c r="AMH16"/>
      <c r="AMI16"/>
      <c r="AMJ16"/>
    </row>
    <row r="17" spans="1:11" ht="14.25" x14ac:dyDescent="0.2">
      <c r="A17" s="6"/>
      <c r="B17" s="37"/>
      <c r="C17" s="37"/>
      <c r="D17" s="37"/>
      <c r="E17" s="37"/>
      <c r="F17" s="11"/>
      <c r="G17" s="20"/>
      <c r="H17" s="36"/>
      <c r="I17" s="36"/>
      <c r="J17" s="36"/>
      <c r="K17" s="7"/>
    </row>
    <row r="18" spans="1:11" ht="14.25" x14ac:dyDescent="0.2">
      <c r="A18" s="6"/>
      <c r="B18" s="20"/>
      <c r="C18" s="36"/>
      <c r="D18" s="36"/>
      <c r="E18" s="36"/>
      <c r="G18" s="20"/>
      <c r="H18" s="36"/>
      <c r="I18" s="36"/>
      <c r="J18" s="36"/>
      <c r="K18" s="7"/>
    </row>
    <row r="19" spans="1:11" ht="14.25" x14ac:dyDescent="0.2">
      <c r="A19" s="6"/>
      <c r="B19" s="20"/>
      <c r="C19" s="36"/>
      <c r="D19" s="36"/>
      <c r="E19" s="36"/>
      <c r="G19" s="20"/>
      <c r="H19" s="36"/>
      <c r="I19" s="36"/>
      <c r="J19" s="36"/>
      <c r="K19" s="7"/>
    </row>
    <row r="20" spans="1:11" ht="14.25" x14ac:dyDescent="0.2">
      <c r="A20" s="6"/>
      <c r="B20" s="16"/>
      <c r="C20" s="29"/>
      <c r="D20" s="29"/>
      <c r="E20" s="29"/>
      <c r="G20" s="16"/>
      <c r="H20" s="29"/>
      <c r="I20" s="29"/>
      <c r="J20" s="29"/>
      <c r="K20" s="7"/>
    </row>
    <row r="21" spans="1:11" ht="14.25" x14ac:dyDescent="0.2">
      <c r="A21" s="6"/>
      <c r="B21" s="37"/>
      <c r="C21" s="37"/>
      <c r="D21" s="37"/>
      <c r="E21" s="37"/>
      <c r="F21" s="11"/>
      <c r="G21" s="37"/>
      <c r="H21" s="37"/>
      <c r="I21" s="37"/>
      <c r="J21" s="37"/>
      <c r="K21" s="7"/>
    </row>
    <row r="22" spans="1:11" ht="14.25" x14ac:dyDescent="0.2">
      <c r="A22" s="6"/>
      <c r="B22" s="20"/>
      <c r="C22" s="36"/>
      <c r="D22" s="36"/>
      <c r="E22" s="36"/>
      <c r="G22" s="20"/>
      <c r="H22" s="36"/>
      <c r="I22" s="36"/>
      <c r="J22" s="36"/>
      <c r="K22" s="7"/>
    </row>
    <row r="23" spans="1:11" ht="14.25" x14ac:dyDescent="0.2">
      <c r="A23" s="6"/>
      <c r="B23" s="18"/>
      <c r="C23" s="18"/>
      <c r="D23" s="18"/>
      <c r="E23" s="18"/>
      <c r="G23" s="20"/>
      <c r="H23" s="36"/>
      <c r="I23" s="36"/>
      <c r="J23" s="36"/>
      <c r="K23" s="7"/>
    </row>
    <row r="24" spans="1:11" ht="14.25" x14ac:dyDescent="0.2">
      <c r="A24" s="17"/>
      <c r="B24" s="16"/>
      <c r="C24" s="36"/>
      <c r="D24" s="36"/>
      <c r="E24" s="36"/>
      <c r="F24" s="18"/>
      <c r="G24" s="18"/>
      <c r="H24" s="18"/>
      <c r="I24" s="18"/>
      <c r="J24" s="18"/>
      <c r="K24" s="19"/>
    </row>
    <row r="25" spans="1:11" x14ac:dyDescent="0.2">
      <c r="A25" s="11"/>
    </row>
  </sheetData>
  <mergeCells count="18">
    <mergeCell ref="C14:E14"/>
    <mergeCell ref="C13:E13"/>
    <mergeCell ref="B2:E2"/>
    <mergeCell ref="B9:E9"/>
    <mergeCell ref="B11:E11"/>
    <mergeCell ref="C12:E12"/>
    <mergeCell ref="C24:E24"/>
    <mergeCell ref="H17:J17"/>
    <mergeCell ref="B17:E17"/>
    <mergeCell ref="H18:J18"/>
    <mergeCell ref="C18:E18"/>
    <mergeCell ref="H19:J19"/>
    <mergeCell ref="C19:E19"/>
    <mergeCell ref="G21:J21"/>
    <mergeCell ref="B21:E21"/>
    <mergeCell ref="H22:J22"/>
    <mergeCell ref="C22:E22"/>
    <mergeCell ref="H23:J23"/>
  </mergeCells>
  <pageMargins left="0.511811024" right="0.511811024" top="0.78740157499999996" bottom="0.78740157499999996" header="0.31496062000000002" footer="0.31496062000000002"/>
  <pageSetup paperSize="9" scale="8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HIPER DESTROI</vt:lpstr>
      <vt:lpstr>HD SASSA</vt:lpstr>
      <vt:lpstr>HIPER DESTROI NO PÓ</vt:lpstr>
      <vt:lpstr>Plan1</vt:lpstr>
      <vt:lpstr>HIPER DESTROI MÉDIO</vt:lpstr>
      <vt:lpstr>HDM SASSA</vt:lpstr>
      <vt:lpstr>HIPER DESTROI MÉDIO NO PÓ</vt:lpstr>
      <vt:lpstr>HIPER DESTROI CLARO</vt:lpstr>
      <vt:lpstr>HIPER DESTROI CLARO NO PÓ</vt:lpstr>
      <vt:lpstr>HDC SASSA</vt:lpstr>
      <vt:lpstr>HIPER DESTROI ESCURO</vt:lpstr>
      <vt:lpstr>HIPER DESTROI ESCURO NO PÓ</vt:lpstr>
      <vt:lpstr>CRISTAL</vt:lpstr>
      <vt:lpstr>CRISTAL SASSA</vt:lpstr>
      <vt:lpstr>AMERICANO(TECIDO CLARO)</vt:lpstr>
      <vt:lpstr>AMERICANO(TECIDO ESCURO)</vt:lpstr>
      <vt:lpstr>SKY OXI</vt:lpstr>
      <vt:lpstr>SKY</vt:lpstr>
      <vt:lpstr>H.D. MARMORIZADO</vt:lpstr>
      <vt:lpstr>h.m.mar</vt:lpstr>
      <vt:lpstr>Plan6</vt:lpstr>
      <vt:lpstr>Plan5</vt:lpstr>
      <vt:lpstr>marmorizado</vt:lpstr>
      <vt:lpstr>Plan2</vt:lpstr>
      <vt:lpstr>Plan4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Mauad</dc:creator>
  <dc:description/>
  <cp:lastModifiedBy>Mauad</cp:lastModifiedBy>
  <cp:revision>6</cp:revision>
  <cp:lastPrinted>2023-04-24T17:24:04Z</cp:lastPrinted>
  <dcterms:created xsi:type="dcterms:W3CDTF">2022-04-04T15:59:20Z</dcterms:created>
  <dcterms:modified xsi:type="dcterms:W3CDTF">2023-04-24T17:24:08Z</dcterms:modified>
  <dc:language>pt-BR</dc:language>
</cp:coreProperties>
</file>